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<sst xmlns="http://schemas.openxmlformats.org/spreadsheetml/2006/main" count="1631" uniqueCount="316">
  <si>
    <t xml:space="preserve">Order ID</t>
  </si>
  <si>
    <t xml:space="preserve">Order Date</t>
  </si>
  <si>
    <t xml:space="preserve">Ship Date</t>
  </si>
  <si>
    <t xml:space="preserve">Customer Name</t>
  </si>
  <si>
    <t xml:space="preserve">Segment</t>
  </si>
  <si>
    <t xml:space="preserve">Region</t>
  </si>
  <si>
    <t xml:space="preserve">State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</si>
  <si>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</si>
  <si>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</si>
  <si>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</si>
  <si>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</si>
  <si>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</si>
  <si>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</si>
  <si>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US-2025-100205</t>
  </si>
  <si>
    <t xml:space="preserve">Jack Wilson</t>
  </si>
  <si>
    <t xml:space="preserve">Corporate</t>
  </si>
  <si>
    <t xml:space="preserve">West</t>
  </si>
  <si>
    <t xml:space="preserve">Oregon</t>
  </si>
  <si>
    <t xml:space="preserve">Office Supplies</t>
  </si>
  <si>
    <t xml:space="preserve">Binders</t>
  </si>
  <si>
    <t xml:space="preserve">US-2025-100189</t>
  </si>
  <si>
    <t xml:space="preserve">Frank Ocean</t>
  </si>
  <si>
    <t xml:space="preserve">Furniture</t>
  </si>
  <si>
    <t xml:space="preserve">Bookcases</t>
  </si>
  <si>
    <t xml:space="preserve">US-2025-100195</t>
  </si>
  <si>
    <t xml:space="preserve">Maya Patel</t>
  </si>
  <si>
    <t xml:space="preserve">Consumer</t>
  </si>
  <si>
    <t xml:space="preserve">Washington</t>
  </si>
  <si>
    <t xml:space="preserve">Technology</t>
  </si>
  <si>
    <t xml:space="preserve">Accessories</t>
  </si>
  <si>
    <t xml:space="preserve">US-2025-100058</t>
  </si>
  <si>
    <t xml:space="preserve">Priya Nair</t>
  </si>
  <si>
    <t xml:space="preserve">Central</t>
  </si>
  <si>
    <t xml:space="preserve">Illinois</t>
  </si>
  <si>
    <t xml:space="preserve">US-2025-100136</t>
  </si>
  <si>
    <t xml:space="preserve">Texas</t>
  </si>
  <si>
    <t xml:space="preserve">Phones</t>
  </si>
  <si>
    <t xml:space="preserve">US-2025-100142</t>
  </si>
  <si>
    <t xml:space="preserve">Barry Weir</t>
  </si>
  <si>
    <t xml:space="preserve">Michigan</t>
  </si>
  <si>
    <t xml:space="preserve">US-2025-100159</t>
  </si>
  <si>
    <t xml:space="preserve">East</t>
  </si>
  <si>
    <t xml:space="preserve">Pennsylvania</t>
  </si>
  <si>
    <t xml:space="preserve">Tables</t>
  </si>
  <si>
    <t xml:space="preserve">US-2025-100054</t>
  </si>
  <si>
    <t xml:space="preserve">Grace Kim</t>
  </si>
  <si>
    <t xml:space="preserve">US-2025-100017</t>
  </si>
  <si>
    <t xml:space="preserve">Carol Nguyen</t>
  </si>
  <si>
    <t xml:space="preserve">Home Office</t>
  </si>
  <si>
    <t xml:space="preserve">New York</t>
  </si>
  <si>
    <t xml:space="preserve">Chairs</t>
  </si>
  <si>
    <t xml:space="preserve">US-2025-100157</t>
  </si>
  <si>
    <t xml:space="preserve">South</t>
  </si>
  <si>
    <t xml:space="preserve">North Carolina</t>
  </si>
  <si>
    <t xml:space="preserve">US-2025-100037</t>
  </si>
  <si>
    <t xml:space="preserve">Noah Scott</t>
  </si>
  <si>
    <t xml:space="preserve">Storage</t>
  </si>
  <si>
    <t xml:space="preserve">US-2025-100121</t>
  </si>
  <si>
    <t xml:space="preserve">Supplies</t>
  </si>
  <si>
    <t xml:space="preserve">US-2025-100080</t>
  </si>
  <si>
    <t xml:space="preserve">Ivy Chen</t>
  </si>
  <si>
    <t xml:space="preserve">Florida</t>
  </si>
  <si>
    <t xml:space="preserve">US-2025-100181</t>
  </si>
  <si>
    <t xml:space="preserve">US-2025-100024</t>
  </si>
  <si>
    <t xml:space="preserve">California</t>
  </si>
  <si>
    <t xml:space="preserve">US-2025-100212</t>
  </si>
  <si>
    <t xml:space="preserve">Paper</t>
  </si>
  <si>
    <t xml:space="preserve">US-2025-100049</t>
  </si>
  <si>
    <t xml:space="preserve">US-2025-100183</t>
  </si>
  <si>
    <t xml:space="preserve">Ella Fitzgerald</t>
  </si>
  <si>
    <t xml:space="preserve">Furnishings</t>
  </si>
  <si>
    <t xml:space="preserve">US-2025-100016</t>
  </si>
  <si>
    <t xml:space="preserve">Aaron Bergman</t>
  </si>
  <si>
    <t xml:space="preserve">US-2025-100133</t>
  </si>
  <si>
    <t xml:space="preserve">Diego Ramirez</t>
  </si>
  <si>
    <t xml:space="preserve">US-2025-100036</t>
  </si>
  <si>
    <t xml:space="preserve">Liam Turner</t>
  </si>
  <si>
    <t xml:space="preserve">US-2025-100118</t>
  </si>
  <si>
    <t xml:space="preserve">US-2025-100203</t>
  </si>
  <si>
    <t xml:space="preserve">New Jersey</t>
  </si>
  <si>
    <t xml:space="preserve">US-2025-100123</t>
  </si>
  <si>
    <t xml:space="preserve">Machines</t>
  </si>
  <si>
    <t xml:space="preserve">US-2025-100168</t>
  </si>
  <si>
    <t xml:space="preserve">US-2025-100190</t>
  </si>
  <si>
    <t xml:space="preserve">Harold Pham</t>
  </si>
  <si>
    <t xml:space="preserve">US-2025-100021</t>
  </si>
  <si>
    <t xml:space="preserve">US-2025-100114</t>
  </si>
  <si>
    <t xml:space="preserve">US-2025-100113</t>
  </si>
  <si>
    <t xml:space="preserve">US-2025-100143</t>
  </si>
  <si>
    <t xml:space="preserve">Karen Blake</t>
  </si>
  <si>
    <t xml:space="preserve">US-2025-100137</t>
  </si>
  <si>
    <t xml:space="preserve">Ryan Cole</t>
  </si>
  <si>
    <t xml:space="preserve">US-2025-100207</t>
  </si>
  <si>
    <t xml:space="preserve">US-2025-100057</t>
  </si>
  <si>
    <t xml:space="preserve">US-2025-100145</t>
  </si>
  <si>
    <t xml:space="preserve">US-2025-100102</t>
  </si>
  <si>
    <t xml:space="preserve">US-2025-100082</t>
  </si>
  <si>
    <t xml:space="preserve">US-2025-100215</t>
  </si>
  <si>
    <t xml:space="preserve">US-2025-100111</t>
  </si>
  <si>
    <t xml:space="preserve">US-2025-100164</t>
  </si>
  <si>
    <t xml:space="preserve">US-2025-100165</t>
  </si>
  <si>
    <t xml:space="preserve">Quentin Ross</t>
  </si>
  <si>
    <t xml:space="preserve">US-2025-100097</t>
  </si>
  <si>
    <t xml:space="preserve">US-2025-100048</t>
  </si>
  <si>
    <t xml:space="preserve">US-2025-100044</t>
  </si>
  <si>
    <t xml:space="preserve">US-2025-100178</t>
  </si>
  <si>
    <t xml:space="preserve">Georgia</t>
  </si>
  <si>
    <t xml:space="preserve">US-2025-100211</t>
  </si>
  <si>
    <t xml:space="preserve">US-2025-100031</t>
  </si>
  <si>
    <t xml:space="preserve">Olivia James</t>
  </si>
  <si>
    <t xml:space="preserve">US-2025-100140</t>
  </si>
  <si>
    <t xml:space="preserve">US-2025-100051</t>
  </si>
  <si>
    <t xml:space="preserve">US-2025-100200</t>
  </si>
  <si>
    <t xml:space="preserve">US-2025-100052</t>
  </si>
  <si>
    <t xml:space="preserve">US-2025-100214</t>
  </si>
  <si>
    <t xml:space="preserve">US-2025-100182</t>
  </si>
  <si>
    <t xml:space="preserve">US-2025-100040</t>
  </si>
  <si>
    <t xml:space="preserve">US-2025-100065</t>
  </si>
  <si>
    <t xml:space="preserve">US-2025-100008</t>
  </si>
  <si>
    <t xml:space="preserve">US-2025-100015</t>
  </si>
  <si>
    <t xml:space="preserve">US-2025-100104</t>
  </si>
  <si>
    <t xml:space="preserve">US-2025-100116</t>
  </si>
  <si>
    <t xml:space="preserve">US-2025-100099</t>
  </si>
  <si>
    <t xml:space="preserve">US-2025-100139</t>
  </si>
  <si>
    <t xml:space="preserve">US-2025-100209</t>
  </si>
  <si>
    <t xml:space="preserve">US-2025-100026</t>
  </si>
  <si>
    <t xml:space="preserve">US-2025-100147</t>
  </si>
  <si>
    <t xml:space="preserve">US-2025-100018</t>
  </si>
  <si>
    <t xml:space="preserve">US-2025-100188</t>
  </si>
  <si>
    <t xml:space="preserve">US-2025-100069</t>
  </si>
  <si>
    <t xml:space="preserve">US-2025-100172</t>
  </si>
  <si>
    <t xml:space="preserve">US-2025-100053</t>
  </si>
  <si>
    <t xml:space="preserve">US-2025-100022</t>
  </si>
  <si>
    <t xml:space="preserve">US-2025-100029</t>
  </si>
  <si>
    <t xml:space="preserve">US-2025-100105</t>
  </si>
  <si>
    <t xml:space="preserve">US-2025-100107</t>
  </si>
  <si>
    <t xml:space="preserve">US-2025-100003</t>
  </si>
  <si>
    <t xml:space="preserve">US-2025-100060</t>
  </si>
  <si>
    <t xml:space="preserve">US-2025-100084</t>
  </si>
  <si>
    <t xml:space="preserve">US-2025-100028</t>
  </si>
  <si>
    <t xml:space="preserve">US-2025-100042</t>
  </si>
  <si>
    <t xml:space="preserve">US-2025-100141</t>
  </si>
  <si>
    <t xml:space="preserve">US-2025-100192</t>
  </si>
  <si>
    <t xml:space="preserve">US-2025-100186</t>
  </si>
  <si>
    <t xml:space="preserve">US-2025-100005</t>
  </si>
  <si>
    <t xml:space="preserve">US-2025-100122</t>
  </si>
  <si>
    <t xml:space="preserve">US-2025-100124</t>
  </si>
  <si>
    <t xml:space="preserve">US-2025-100072</t>
  </si>
  <si>
    <t xml:space="preserve">US-2025-100218</t>
  </si>
  <si>
    <t xml:space="preserve">US-2025-100070</t>
  </si>
  <si>
    <t xml:space="preserve">US-2025-100129</t>
  </si>
  <si>
    <t xml:space="preserve">US-2025-100151</t>
  </si>
  <si>
    <t xml:space="preserve">US-2025-100171</t>
  </si>
  <si>
    <t xml:space="preserve">US-2025-100217</t>
  </si>
  <si>
    <t xml:space="preserve">US-2025-100119</t>
  </si>
  <si>
    <t xml:space="preserve">US-2025-100134</t>
  </si>
  <si>
    <t xml:space="preserve">US-2025-100088</t>
  </si>
  <si>
    <t xml:space="preserve">US-2025-100166</t>
  </si>
  <si>
    <t xml:space="preserve">US-2025-100206</t>
  </si>
  <si>
    <t xml:space="preserve">US-2025-100155</t>
  </si>
  <si>
    <t xml:space="preserve">US-2025-100064</t>
  </si>
  <si>
    <t xml:space="preserve">US-2025-100033</t>
  </si>
  <si>
    <t xml:space="preserve">US-2025-100066</t>
  </si>
  <si>
    <t xml:space="preserve">US-2025-100109</t>
  </si>
  <si>
    <t xml:space="preserve">US-2025-100175</t>
  </si>
  <si>
    <t xml:space="preserve">US-2025-100032</t>
  </si>
  <si>
    <t xml:space="preserve">US-2025-100158</t>
  </si>
  <si>
    <t xml:space="preserve">US-2025-100204</t>
  </si>
  <si>
    <t xml:space="preserve">US-2025-100216</t>
  </si>
  <si>
    <t xml:space="preserve">US-2025-100094</t>
  </si>
  <si>
    <t xml:space="preserve">US-2025-100083</t>
  </si>
  <si>
    <t xml:space="preserve">US-2025-100148</t>
  </si>
  <si>
    <t xml:space="preserve">US-2025-100202</t>
  </si>
  <si>
    <t xml:space="preserve">US-2025-100191</t>
  </si>
  <si>
    <t xml:space="preserve">US-2025-100063</t>
  </si>
  <si>
    <t xml:space="preserve">US-2025-100115</t>
  </si>
  <si>
    <t xml:space="preserve">US-2025-100034</t>
  </si>
  <si>
    <t xml:space="preserve">US-2025-100120</t>
  </si>
  <si>
    <t xml:space="preserve">US-2025-100198</t>
  </si>
  <si>
    <t xml:space="preserve">US-2025-100180</t>
  </si>
  <si>
    <t xml:space="preserve">US-2025-100050</t>
  </si>
  <si>
    <t xml:space="preserve">US-2025-100020</t>
  </si>
  <si>
    <t xml:space="preserve">US-2025-100073</t>
  </si>
  <si>
    <t xml:space="preserve">US-2025-100194</t>
  </si>
  <si>
    <t xml:space="preserve">US-2025-100041</t>
  </si>
  <si>
    <t xml:space="preserve">US-2025-100075</t>
  </si>
  <si>
    <t xml:space="preserve">US-2025-100074</t>
  </si>
  <si>
    <t xml:space="preserve">US-2025-100138</t>
  </si>
  <si>
    <t xml:space="preserve">US-2025-100087</t>
  </si>
  <si>
    <t xml:space="preserve">US-2025-100090</t>
  </si>
  <si>
    <t xml:space="preserve">US-2025-100144</t>
  </si>
  <si>
    <t xml:space="preserve">US-2025-100131</t>
  </si>
  <si>
    <t xml:space="preserve">US-2025-100213</t>
  </si>
  <si>
    <t xml:space="preserve">US-2025-100201</t>
  </si>
  <si>
    <t xml:space="preserve">US-2025-100045</t>
  </si>
  <si>
    <t xml:space="preserve">US-2025-100085</t>
  </si>
  <si>
    <t xml:space="preserve">US-2025-100027</t>
  </si>
  <si>
    <t xml:space="preserve">US-2025-100004</t>
  </si>
  <si>
    <t xml:space="preserve">US-2025-100130</t>
  </si>
  <si>
    <t xml:space="preserve">US-2025-100055</t>
  </si>
  <si>
    <t xml:space="preserve">US-2025-100035</t>
  </si>
  <si>
    <t xml:space="preserve">US-2025-100043</t>
  </si>
  <si>
    <t xml:space="preserve">US-2025-100068</t>
  </si>
  <si>
    <t xml:space="preserve">US-2025-100110</t>
  </si>
  <si>
    <t xml:space="preserve">US-2025-100169</t>
  </si>
  <si>
    <t xml:space="preserve">US-2025-100014</t>
  </si>
  <si>
    <t xml:space="preserve">US-2025-100061</t>
  </si>
  <si>
    <t xml:space="preserve">US-2025-100062</t>
  </si>
  <si>
    <t xml:space="preserve">US-2025-100153</t>
  </si>
  <si>
    <t xml:space="preserve">US-2025-100173</t>
  </si>
  <si>
    <t xml:space="preserve">US-2025-100146</t>
  </si>
  <si>
    <t xml:space="preserve">US-2025-100012</t>
  </si>
  <si>
    <t xml:space="preserve">US-2025-100030</t>
  </si>
  <si>
    <t xml:space="preserve">US-2025-100162</t>
  </si>
  <si>
    <t xml:space="preserve">US-2025-100079</t>
  </si>
  <si>
    <t xml:space="preserve">US-2025-100132</t>
  </si>
  <si>
    <t xml:space="preserve">US-2025-100220</t>
  </si>
  <si>
    <t xml:space="preserve">US-2025-100199</t>
  </si>
  <si>
    <t xml:space="preserve">US-2025-100098</t>
  </si>
  <si>
    <t xml:space="preserve">US-2025-100126</t>
  </si>
  <si>
    <t xml:space="preserve">US-2025-100184</t>
  </si>
  <si>
    <t xml:space="preserve">US-2025-100208</t>
  </si>
  <si>
    <t xml:space="preserve">US-2025-100154</t>
  </si>
  <si>
    <t xml:space="preserve">US-2025-100046</t>
  </si>
  <si>
    <t xml:space="preserve">US-2025-100176</t>
  </si>
  <si>
    <t xml:space="preserve">US-2025-100185</t>
  </si>
  <si>
    <t xml:space="preserve">US-2025-100135</t>
  </si>
  <si>
    <t xml:space="preserve">US-2025-100002</t>
  </si>
  <si>
    <t xml:space="preserve">US-2025-100091</t>
  </si>
  <si>
    <t xml:space="preserve">US-2025-100095</t>
  </si>
  <si>
    <t xml:space="preserve">US-2025-100106</t>
  </si>
  <si>
    <t xml:space="preserve">US-2025-100023</t>
  </si>
  <si>
    <t xml:space="preserve">US-2025-100056</t>
  </si>
  <si>
    <t xml:space="preserve">US-2025-100149</t>
  </si>
  <si>
    <t xml:space="preserve">US-2025-100009</t>
  </si>
  <si>
    <t xml:space="preserve">US-2025-100100</t>
  </si>
  <si>
    <t xml:space="preserve">US-2025-100093</t>
  </si>
  <si>
    <t xml:space="preserve">US-2025-100103</t>
  </si>
  <si>
    <t xml:space="preserve">US-2025-100108</t>
  </si>
  <si>
    <t xml:space="preserve">US-2025-100125</t>
  </si>
  <si>
    <t xml:space="preserve">US-2025-100167</t>
  </si>
  <si>
    <t xml:space="preserve">US-2025-100179</t>
  </si>
  <si>
    <t xml:space="preserve">US-2025-100174</t>
  </si>
  <si>
    <t xml:space="preserve">US-2025-100013</t>
  </si>
  <si>
    <t xml:space="preserve">US-2025-100127</t>
  </si>
  <si>
    <t xml:space="preserve">US-2025-100177</t>
  </si>
  <si>
    <t xml:space="preserve">US-2025-100170</t>
  </si>
  <si>
    <t xml:space="preserve">US-2025-100117</t>
  </si>
  <si>
    <t xml:space="preserve">US-2025-100163</t>
  </si>
  <si>
    <t xml:space="preserve">US-2025-100059</t>
  </si>
  <si>
    <t xml:space="preserve">US-2025-100089</t>
  </si>
  <si>
    <t xml:space="preserve">US-2025-100025</t>
  </si>
  <si>
    <t xml:space="preserve">US-2025-100096</t>
  </si>
  <si>
    <t xml:space="preserve">US-2025-100039</t>
  </si>
  <si>
    <t xml:space="preserve">US-2025-100047</t>
  </si>
  <si>
    <t xml:space="preserve">US-2025-100210</t>
  </si>
  <si>
    <t xml:space="preserve">US-2025-100128</t>
  </si>
  <si>
    <t xml:space="preserve">US-2025-100150</t>
  </si>
  <si>
    <t xml:space="preserve">US-2025-100077</t>
  </si>
  <si>
    <t xml:space="preserve">US-2025-100067</t>
  </si>
  <si>
    <t xml:space="preserve">US-2025-100092</t>
  </si>
  <si>
    <t xml:space="preserve">US-2025-100219</t>
  </si>
  <si>
    <t xml:space="preserve">US-2025-100101</t>
  </si>
  <si>
    <t xml:space="preserve">US-2025-100193</t>
  </si>
  <si>
    <t xml:space="preserve">US-2025-100112</t>
  </si>
  <si>
    <t xml:space="preserve">US-2025-100152</t>
  </si>
  <si>
    <t xml:space="preserve">US-2025-100187</t>
  </si>
  <si>
    <t xml:space="preserve">US-2025-100071</t>
  </si>
  <si>
    <t xml:space="preserve">US-2025-100161</t>
  </si>
  <si>
    <t xml:space="preserve">US-2025-100156</t>
  </si>
  <si>
    <t xml:space="preserve">US-2025-100019</t>
  </si>
  <si>
    <t xml:space="preserve">US-2025-100076</t>
  </si>
  <si>
    <t xml:space="preserve">US-2025-100001</t>
  </si>
  <si>
    <t xml:space="preserve">US-2025-100010</t>
  </si>
  <si>
    <t xml:space="preserve">US-2025-100011</t>
  </si>
  <si>
    <t xml:space="preserve">US-2025-100007</t>
  </si>
  <si>
    <t xml:space="preserve">US-2025-100197</t>
  </si>
  <si>
    <t xml:space="preserve">US-2025-100196</t>
  </si>
  <si>
    <t xml:space="preserve">US-2025-100078</t>
  </si>
  <si>
    <t xml:space="preserve">US-2025-100160</t>
  </si>
  <si>
    <t xml:space="preserve">US-2025-100006</t>
  </si>
  <si>
    <t xml:space="preserve">US-2025-100086</t>
  </si>
  <si>
    <t xml:space="preserve">US-2025-100038</t>
  </si>
  <si>
    <t xml:space="preserve">US-2025-100081</t>
  </si>
  <si>
    <t xml:space="preserve">Superstore Sales &amp; Profit Report</t>
  </si>
  <si>
    <t xml:space="preserve">Prepared by Yuan Li - S390310  |  Report Writer role, Reporting Fundamentals practice task</t>
  </si>
  <si>
    <t xml:space="preserve">Q1. What are our total sales by product category?</t>
  </si>
  <si>
    <t xml:space="preserve">Stakeholder: Merchandising team - which category should we invest marketing budget in?</t>
  </si>
  <si>
    <t xml:space="preserve">Total Sales</t>
  </si>
  <si>
    <t xml:space="preserve">Q2. How do sales and profit compare across regions?</t>
  </si>
  <si>
    <t xml:space="preserve">Stakeholder: Regional sales managers - which region is performing best, and where is profit being lost?</t>
  </si>
  <si>
    <t xml:space="preserve">Total Profit</t>
  </si>
  <si>
    <t xml:space="preserve">Q3. What does our monthly sales trend look like over the year?</t>
  </si>
  <si>
    <t xml:space="preserve">Stakeholder: Finance team - are sales seasonal, and what should next year's forecast assume?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</si>
  <si>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</si>
  <si>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</si>
  <si>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</si>
  <si>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</si>
  <si>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</si>
  <si>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</si>
  <si>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</si>
  <si>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</si>
  <si>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</si>
  <si>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</si>
  <si>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</si>
  <si>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</si>
  <si>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</si>
  <si>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Q4. Who are our top 5 customers by total sales?</t>
  </si>
  <si>
    <t xml:space="preserve">Stakeholder: Account management - which customers deserve priority relationship attention?</t>
  </si>
  <si>
    <t xml:space="preserve">Rank</t>
  </si>
  <si>
    <t xml:space="preserve">Customer</t>
  </si>
  <si>
    <t xml:space="preserve">Q5. Which sub-categories have the lowest profit margin?</t>
  </si>
  <si>
    <t xml:space="preserve">Stakeholder: Product/pricing team - which sub-categories need a pricing or discount-policy review?</t>
  </si>
  <si>
    <t xml:space="preserve">Profit Margin</t>
  </si>
  <si>
    <t xml:space="preserve">Note: 'Working data' block under Q4 supports the ranking formulas (LARGE/INDEX/MATCH) and is not a separate question.</t>
  </si>
  <si>
    <t xml:space="preserve">Working data: all customers (used by the ranking formulas in Q4 above)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</si>
</sst>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\$#,##0.00"/>
    <numFmt numFmtId="167" formatCode="0%"/>
    <numFmt numFmtId="168" formatCode="\$#,##0.00;&quot;($&quot;#,##0.00\)"/>
    <numFmt numFmtId="169" formatCode="\$#,##0"/>
    <numFmt numFmtId="170" formatCode="\$#,##0;&quot;($&quot;#,##0\)"/>
    <numFmt numFmtId="171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1E276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b val="true"/>
      <i val="true"/>
      <sz val="11"/>
      <color rgb="FF33333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3A9CE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BBB59"/>
      <rgbColor rgb="FFFFCC00"/>
      <rgbColor rgb="FFFF9900"/>
      <rgbColor rgb="FFFF6600"/>
      <rgbColor rgb="FF8064A2"/>
      <rgbColor rgb="FF888888"/>
      <rgbColor rgb="FF1E2761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Report!C8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Report!$B$9:$B$11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Report!$C$9:$C$11</c:f>
              <c:numCache>
                <c:formatCode>\$#,##0</c:formatCode>
                <c:ptCount val="3"/>
                <c:pt idx="0">
                  <c:v>48273.83</c:v>
                </c:pt>
                <c:pt idx="1">
                  <c:v>11855.33</c:v>
                </c:pt>
                <c:pt idx="2">
                  <c:v>71222.3</c:v>
                </c:pt>
              </c:numCache>
            </c:numRef>
          </c:val>
        </c:ser>
        <c:gapWidth val="150"/>
        <c:overlap val="0"/>
        <c:axId val="26564519"/>
        <c:axId val="69710801"/>
      </c:barChart>
      <c:catAx>
        <c:axId val="26564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710801"/>
        <c:crosses val="autoZero"/>
        <c:auto val="1"/>
        <c:lblAlgn val="ctr"/>
        <c:lblOffset val="100"/>
        <c:noMultiLvlLbl val="0"/>
      </c:catAx>
      <c:valAx>
        <c:axId val="69710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5645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Report!C24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672A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Report!$B$25:$B$28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Report!$C$25:$C$28</c:f>
              <c:numCache>
                <c:formatCode>\$#,##0</c:formatCode>
                <c:ptCount val="4"/>
                <c:pt idx="0">
                  <c:v>38588.07</c:v>
                </c:pt>
                <c:pt idx="1">
                  <c:v>28530.71</c:v>
                </c:pt>
                <c:pt idx="2">
                  <c:v>25943.95</c:v>
                </c:pt>
                <c:pt idx="3">
                  <c:v>38288.73</c:v>
                </c:pt>
              </c:numCache>
            </c:numRef>
          </c:val>
        </c:ser>
        <c:ser>
          <c:idx val="1"/>
          <c:order val="1"/>
          <c:tx>
            <c:strRef>
              <c:f>Report!D24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93A9C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Report!$B$25:$B$28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Report!$D$25:$D$28</c:f>
              <c:numCache>
                <c:formatCode>\$#,##0;"($"#,##0\)</c:formatCode>
                <c:ptCount val="4"/>
                <c:pt idx="0">
                  <c:v>3270.85</c:v>
                </c:pt>
                <c:pt idx="1">
                  <c:v>1554.51</c:v>
                </c:pt>
                <c:pt idx="2">
                  <c:v>2681.27</c:v>
                </c:pt>
                <c:pt idx="3">
                  <c:v>3037.84</c:v>
                </c:pt>
              </c:numCache>
            </c:numRef>
          </c:val>
        </c:ser>
        <c:gapWidth val="150"/>
        <c:overlap val="0"/>
        <c:axId val="20242985"/>
        <c:axId val="70311176"/>
      </c:barChart>
      <c:catAx>
        <c:axId val="20242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11176"/>
        <c:crosses val="autoZero"/>
        <c:auto val="1"/>
        <c:lblAlgn val="ctr"/>
        <c:lblOffset val="100"/>
        <c:noMultiLvlLbl val="0"/>
      </c:catAx>
      <c:valAx>
        <c:axId val="70311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2429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Report!C41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Report!$B$42:$B$53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Report!$C$42:$C$53</c:f>
              <c:numCache>
                <c:formatCode>\$#,##0</c:formatCode>
                <c:ptCount val="12"/>
                <c:pt idx="0">
                  <c:v>7483.57</c:v>
                </c:pt>
                <c:pt idx="1">
                  <c:v>6383.5</c:v>
                </c:pt>
                <c:pt idx="2">
                  <c:v>14594.92</c:v>
                </c:pt>
                <c:pt idx="3">
                  <c:v>7413.07</c:v>
                </c:pt>
                <c:pt idx="4">
                  <c:v>20931.36</c:v>
                </c:pt>
                <c:pt idx="5">
                  <c:v>9114.71</c:v>
                </c:pt>
                <c:pt idx="6">
                  <c:v>9643.9</c:v>
                </c:pt>
                <c:pt idx="7">
                  <c:v>16205.98</c:v>
                </c:pt>
                <c:pt idx="8">
                  <c:v>13114.01</c:v>
                </c:pt>
                <c:pt idx="9">
                  <c:v>9317.09</c:v>
                </c:pt>
                <c:pt idx="10">
                  <c:v>7951.18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040279"/>
        <c:axId val="37877480"/>
      </c:lineChart>
      <c:catAx>
        <c:axId val="13040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77480"/>
        <c:crosses val="autoZero"/>
        <c:auto val="1"/>
        <c:lblAlgn val="ctr"/>
        <c:lblOffset val="100"/>
        <c:noMultiLvlLbl val="0"/>
      </c:catAx>
      <c:valAx>
        <c:axId val="37877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402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5 Customers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Report!D65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Report!$C$66:$C$70</c:f>
              <c:strCache>
                <c:ptCount val="5"/>
                <c:pt idx="0">
                  <c:v>Maya Patel</c:v>
                </c:pt>
                <c:pt idx="1">
                  <c:v>Ryan Cole</c:v>
                </c:pt>
                <c:pt idx="2">
                  <c:v>Olivia James</c:v>
                </c:pt>
                <c:pt idx="3">
                  <c:v>Diego Ramirez</c:v>
                </c:pt>
                <c:pt idx="4">
                  <c:v>Harold Pham</c:v>
                </c:pt>
              </c:strCache>
            </c:strRef>
          </c:cat>
          <c:val>
            <c:numRef>
              <c:f>Report!$D$66:$D$70</c:f>
              <c:numCache>
                <c:formatCode>\$#,##0</c:formatCode>
                <c:ptCount val="5"/>
                <c:pt idx="0">
                  <c:v>12136.86</c:v>
                </c:pt>
                <c:pt idx="1">
                  <c:v>12006.52</c:v>
                </c:pt>
                <c:pt idx="2">
                  <c:v>11856.45</c:v>
                </c:pt>
                <c:pt idx="3">
                  <c:v>11018.14</c:v>
                </c:pt>
                <c:pt idx="4">
                  <c:v>9205.7</c:v>
                </c:pt>
              </c:numCache>
            </c:numRef>
          </c:val>
        </c:ser>
        <c:gapWidth val="150"/>
        <c:overlap val="0"/>
        <c:axId val="2082516"/>
        <c:axId val="59315458"/>
      </c:barChart>
      <c:catAx>
        <c:axId val="2082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315458"/>
        <c:crosses val="autoZero"/>
        <c:auto val="1"/>
        <c:lblAlgn val="ctr"/>
        <c:lblOffset val="100"/>
        <c:noMultiLvlLbl val="0"/>
      </c:catAx>
      <c:valAx>
        <c:axId val="59315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825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4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Profit Margin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Report!E77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8064A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Report!$B$78:$B$88</c:f>
              <c:strCache>
                <c:ptCount val="11"/>
                <c:pt idx="0">
                  <c:v>Bookcases</c:v>
                </c:pt>
                <c:pt idx="1">
                  <c:v>Chairs</c:v>
                </c:pt>
                <c:pt idx="2">
                  <c:v>Tables</c:v>
                </c:pt>
                <c:pt idx="3">
                  <c:v>Furnishings</c:v>
                </c:pt>
                <c:pt idx="4">
                  <c:v>Binders</c:v>
                </c:pt>
                <c:pt idx="5">
                  <c:v>Paper</c:v>
                </c:pt>
                <c:pt idx="6">
                  <c:v>Storage</c:v>
                </c:pt>
                <c:pt idx="7">
                  <c:v>Supplies</c:v>
                </c:pt>
                <c:pt idx="8">
                  <c:v>Accessories</c:v>
                </c:pt>
                <c:pt idx="9">
                  <c:v>Machines</c:v>
                </c:pt>
                <c:pt idx="10">
                  <c:v>Phones</c:v>
                </c:pt>
              </c:strCache>
            </c:strRef>
          </c:cat>
          <c:val>
            <c:numRef>
              <c:f>Report!$E$78:$E$88</c:f>
              <c:numCache>
                <c:formatCode>0.0%</c:formatCode>
                <c:ptCount val="11"/>
                <c:pt idx="0">
                  <c:v>0.044483293993966</c:v>
                </c:pt>
                <c:pt idx="1">
                  <c:v>0.142291440507204</c:v>
                </c:pt>
                <c:pt idx="2">
                  <c:v>-0.0591082497355529</c:v>
                </c:pt>
                <c:pt idx="3">
                  <c:v>0.193446880775186</c:v>
                </c:pt>
                <c:pt idx="4">
                  <c:v>0.29273287168024</c:v>
                </c:pt>
                <c:pt idx="5">
                  <c:v>0.340667211504027</c:v>
                </c:pt>
                <c:pt idx="6">
                  <c:v>0.172991503639998</c:v>
                </c:pt>
                <c:pt idx="7">
                  <c:v>0.0840252844916575</c:v>
                </c:pt>
                <c:pt idx="8">
                  <c:v>0.251926273293503</c:v>
                </c:pt>
                <c:pt idx="9">
                  <c:v>0.0438802068121309</c:v>
                </c:pt>
                <c:pt idx="10">
                  <c:v>0.164660208394207</c:v>
                </c:pt>
              </c:numCache>
            </c:numRef>
          </c:val>
        </c:ser>
        <c:gapWidth val="150"/>
        <c:overlap val="0"/>
        <c:axId val="7683825"/>
        <c:axId val="27718640"/>
      </c:barChart>
      <c:catAx>
        <c:axId val="76838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718640"/>
        <c:crosses val="autoZero"/>
        <c:auto val="1"/>
        <c:lblAlgn val="ctr"/>
        <c:lblOffset val="100"/>
        <c:noMultiLvlLbl val="0"/>
      </c:catAx>
      <c:valAx>
        <c:axId val="27718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838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0</xdr:rowOff>
    </xdr:from>
    <xdr:to>
      <xdr:col>7</xdr:col>
      <xdr:colOff>936360</xdr:colOff>
      <xdr:row>20</xdr:row>
      <xdr:rowOff>43200</xdr:rowOff>
    </xdr:to>
    <xdr:graphicFrame>
      <xdr:nvGraphicFramePr>
        <xdr:cNvPr id="1" name="Chart 1"/>
        <xdr:cNvGraphicFramePr/>
      </xdr:nvGraphicFramePr>
      <xdr:xfrm>
        <a:off x="4017600" y="14680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23</xdr:row>
      <xdr:rowOff>0</xdr:rowOff>
    </xdr:from>
    <xdr:to>
      <xdr:col>7</xdr:col>
      <xdr:colOff>936360</xdr:colOff>
      <xdr:row>36</xdr:row>
      <xdr:rowOff>42840</xdr:rowOff>
    </xdr:to>
    <xdr:graphicFrame>
      <xdr:nvGraphicFramePr>
        <xdr:cNvPr id="2" name="Chart 2"/>
        <xdr:cNvGraphicFramePr/>
      </xdr:nvGraphicFramePr>
      <xdr:xfrm>
        <a:off x="4017600" y="45306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40</xdr:row>
      <xdr:rowOff>0</xdr:rowOff>
    </xdr:from>
    <xdr:to>
      <xdr:col>8</xdr:col>
      <xdr:colOff>528480</xdr:colOff>
      <xdr:row>53</xdr:row>
      <xdr:rowOff>43200</xdr:rowOff>
    </xdr:to>
    <xdr:graphicFrame>
      <xdr:nvGraphicFramePr>
        <xdr:cNvPr id="3" name="Chart 3"/>
        <xdr:cNvGraphicFramePr/>
      </xdr:nvGraphicFramePr>
      <xdr:xfrm>
        <a:off x="4017600" y="77839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64</xdr:row>
      <xdr:rowOff>0</xdr:rowOff>
    </xdr:from>
    <xdr:to>
      <xdr:col>9</xdr:col>
      <xdr:colOff>325080</xdr:colOff>
      <xdr:row>77</xdr:row>
      <xdr:rowOff>28440</xdr:rowOff>
    </xdr:to>
    <xdr:graphicFrame>
      <xdr:nvGraphicFramePr>
        <xdr:cNvPr id="4" name="Chart 4"/>
        <xdr:cNvGraphicFramePr/>
      </xdr:nvGraphicFramePr>
      <xdr:xfrm>
        <a:off x="5145480" y="123703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76</xdr:row>
      <xdr:rowOff>0</xdr:rowOff>
    </xdr:from>
    <xdr:to>
      <xdr:col>12</xdr:col>
      <xdr:colOff>338040</xdr:colOff>
      <xdr:row>91</xdr:row>
      <xdr:rowOff>22320</xdr:rowOff>
    </xdr:to>
    <xdr:graphicFrame>
      <xdr:nvGraphicFramePr>
        <xdr:cNvPr id="5" name="Chart 5"/>
        <xdr:cNvGraphicFramePr/>
      </xdr:nvGraphicFramePr>
      <xdr:xfrm>
        <a:off x="6273000" y="146710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n">
        <v>45659</v>
      </c>
      <c r="C2" s="3" t="n">
        <v>45661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n">
        <v>67.8</v>
      </c>
      <c r="K2" s="2" t="n">
        <v>3</v>
      </c>
      <c r="L2" s="5" t="n">
        <v>0.1</v>
      </c>
      <c r="M2" s="6" t="n">
        <v>20.54</v>
      </c>
    </row>
    <row r="3" customFormat="false" ht="15" hidden="false" customHeight="false" outlineLevel="0" collapsed="false">
      <c r="A3" s="2" t="s">
        <v>20</v>
      </c>
      <c r="B3" s="3" t="n">
        <v>45660</v>
      </c>
      <c r="C3" s="3" t="n">
        <v>45666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22</v>
      </c>
      <c r="I3" s="2" t="s">
        <v>23</v>
      </c>
      <c r="J3" s="4" t="n">
        <v>348.24</v>
      </c>
      <c r="K3" s="2" t="n">
        <v>2</v>
      </c>
      <c r="L3" s="5" t="n">
        <v>0.2</v>
      </c>
      <c r="M3" s="6" t="n">
        <v>9.49</v>
      </c>
    </row>
    <row r="4" customFormat="false" ht="15" hidden="false" customHeight="false" outlineLevel="0" collapsed="false">
      <c r="A4" s="2" t="s">
        <v>24</v>
      </c>
      <c r="B4" s="3" t="n">
        <v>45661</v>
      </c>
      <c r="C4" s="3" t="n">
        <v>45665</v>
      </c>
      <c r="D4" s="2" t="s">
        <v>25</v>
      </c>
      <c r="E4" s="2" t="s">
        <v>26</v>
      </c>
      <c r="F4" s="2" t="s">
        <v>16</v>
      </c>
      <c r="G4" s="2" t="s">
        <v>27</v>
      </c>
      <c r="H4" s="2" t="s">
        <v>28</v>
      </c>
      <c r="I4" s="2" t="s">
        <v>29</v>
      </c>
      <c r="J4" s="4" t="n">
        <v>149.82</v>
      </c>
      <c r="K4" s="2" t="n">
        <v>3</v>
      </c>
      <c r="L4" s="5" t="n">
        <v>0.1</v>
      </c>
      <c r="M4" s="6" t="n">
        <v>34.81</v>
      </c>
    </row>
    <row r="5" customFormat="false" ht="15" hidden="false" customHeight="false" outlineLevel="0" collapsed="false">
      <c r="A5" s="2" t="s">
        <v>30</v>
      </c>
      <c r="B5" s="3" t="n">
        <v>45664</v>
      </c>
      <c r="C5" s="3" t="n">
        <v>45669</v>
      </c>
      <c r="D5" s="2" t="s">
        <v>31</v>
      </c>
      <c r="E5" s="2" t="s">
        <v>26</v>
      </c>
      <c r="F5" s="2" t="s">
        <v>32</v>
      </c>
      <c r="G5" s="2" t="s">
        <v>33</v>
      </c>
      <c r="H5" s="2" t="s">
        <v>22</v>
      </c>
      <c r="I5" s="2" t="s">
        <v>23</v>
      </c>
      <c r="J5" s="4" t="n">
        <v>1133.01</v>
      </c>
      <c r="K5" s="2" t="n">
        <v>6</v>
      </c>
      <c r="L5" s="5" t="n">
        <v>0.2</v>
      </c>
      <c r="M5" s="6" t="n">
        <v>19.33</v>
      </c>
    </row>
    <row r="6" customFormat="false" ht="15" hidden="false" customHeight="false" outlineLevel="0" collapsed="false">
      <c r="A6" s="2" t="s">
        <v>34</v>
      </c>
      <c r="B6" s="3" t="n">
        <v>45667</v>
      </c>
      <c r="C6" s="3" t="n">
        <v>45671</v>
      </c>
      <c r="D6" s="2" t="s">
        <v>14</v>
      </c>
      <c r="E6" s="2" t="s">
        <v>26</v>
      </c>
      <c r="F6" s="2" t="s">
        <v>32</v>
      </c>
      <c r="G6" s="2" t="s">
        <v>35</v>
      </c>
      <c r="H6" s="2" t="s">
        <v>28</v>
      </c>
      <c r="I6" s="2" t="s">
        <v>36</v>
      </c>
      <c r="J6" s="4" t="n">
        <v>1157.31</v>
      </c>
      <c r="K6" s="2" t="n">
        <v>9</v>
      </c>
      <c r="L6" s="5" t="n">
        <v>0.2</v>
      </c>
      <c r="M6" s="6" t="n">
        <v>176.31</v>
      </c>
    </row>
    <row r="7" customFormat="false" ht="15" hidden="false" customHeight="false" outlineLevel="0" collapsed="false">
      <c r="A7" s="2" t="s">
        <v>37</v>
      </c>
      <c r="B7" s="3" t="n">
        <v>45671</v>
      </c>
      <c r="C7" s="3" t="n">
        <v>45676</v>
      </c>
      <c r="D7" s="2" t="s">
        <v>38</v>
      </c>
      <c r="E7" s="2" t="s">
        <v>15</v>
      </c>
      <c r="F7" s="2" t="s">
        <v>32</v>
      </c>
      <c r="G7" s="2" t="s">
        <v>39</v>
      </c>
      <c r="H7" s="2" t="s">
        <v>28</v>
      </c>
      <c r="I7" s="2" t="s">
        <v>29</v>
      </c>
      <c r="J7" s="4" t="n">
        <v>213.98</v>
      </c>
      <c r="K7" s="2" t="n">
        <v>7</v>
      </c>
      <c r="L7" s="5" t="n">
        <v>0</v>
      </c>
      <c r="M7" s="6" t="n">
        <v>60.27</v>
      </c>
    </row>
    <row r="8" customFormat="false" ht="15" hidden="false" customHeight="false" outlineLevel="0" collapsed="false">
      <c r="A8" s="2" t="s">
        <v>40</v>
      </c>
      <c r="B8" s="3" t="n">
        <v>45671</v>
      </c>
      <c r="C8" s="3" t="n">
        <v>45678</v>
      </c>
      <c r="D8" s="2" t="s">
        <v>21</v>
      </c>
      <c r="E8" s="2" t="s">
        <v>15</v>
      </c>
      <c r="F8" s="2" t="s">
        <v>41</v>
      </c>
      <c r="G8" s="2" t="s">
        <v>42</v>
      </c>
      <c r="H8" s="2" t="s">
        <v>22</v>
      </c>
      <c r="I8" s="2" t="s">
        <v>43</v>
      </c>
      <c r="J8" s="4" t="n">
        <v>1932.15</v>
      </c>
      <c r="K8" s="2" t="n">
        <v>7</v>
      </c>
      <c r="L8" s="5" t="n">
        <v>0</v>
      </c>
      <c r="M8" s="6" t="n">
        <v>-164.31</v>
      </c>
    </row>
    <row r="9" customFormat="false" ht="15" hidden="false" customHeight="false" outlineLevel="0" collapsed="false">
      <c r="A9" s="2" t="s">
        <v>44</v>
      </c>
      <c r="B9" s="3" t="n">
        <v>45673</v>
      </c>
      <c r="C9" s="3" t="n">
        <v>45676</v>
      </c>
      <c r="D9" s="2" t="s">
        <v>45</v>
      </c>
      <c r="E9" s="2" t="s">
        <v>26</v>
      </c>
      <c r="F9" s="2" t="s">
        <v>41</v>
      </c>
      <c r="G9" s="2" t="s">
        <v>42</v>
      </c>
      <c r="H9" s="2" t="s">
        <v>28</v>
      </c>
      <c r="I9" s="2" t="s">
        <v>29</v>
      </c>
      <c r="J9" s="4" t="n">
        <v>205.67</v>
      </c>
      <c r="K9" s="2" t="n">
        <v>6</v>
      </c>
      <c r="L9" s="5" t="n">
        <v>0</v>
      </c>
      <c r="M9" s="6" t="n">
        <v>57.2</v>
      </c>
    </row>
    <row r="10" customFormat="false" ht="15" hidden="false" customHeight="false" outlineLevel="0" collapsed="false">
      <c r="A10" s="2" t="s">
        <v>46</v>
      </c>
      <c r="B10" s="3" t="n">
        <v>45674</v>
      </c>
      <c r="C10" s="3" t="n">
        <v>45678</v>
      </c>
      <c r="D10" s="2" t="s">
        <v>47</v>
      </c>
      <c r="E10" s="2" t="s">
        <v>48</v>
      </c>
      <c r="F10" s="2" t="s">
        <v>41</v>
      </c>
      <c r="G10" s="2" t="s">
        <v>49</v>
      </c>
      <c r="H10" s="2" t="s">
        <v>22</v>
      </c>
      <c r="I10" s="2" t="s">
        <v>50</v>
      </c>
      <c r="J10" s="4" t="n">
        <v>95.96</v>
      </c>
      <c r="K10" s="2" t="n">
        <v>1</v>
      </c>
      <c r="L10" s="5" t="n">
        <v>0.2</v>
      </c>
      <c r="M10" s="6" t="n">
        <v>10.16</v>
      </c>
    </row>
    <row r="11" customFormat="false" ht="15" hidden="false" customHeight="false" outlineLevel="0" collapsed="false">
      <c r="A11" s="2" t="s">
        <v>51</v>
      </c>
      <c r="B11" s="3" t="n">
        <v>45675</v>
      </c>
      <c r="C11" s="3" t="n">
        <v>45678</v>
      </c>
      <c r="D11" s="2" t="s">
        <v>47</v>
      </c>
      <c r="E11" s="2" t="s">
        <v>26</v>
      </c>
      <c r="F11" s="2" t="s">
        <v>52</v>
      </c>
      <c r="G11" s="2" t="s">
        <v>53</v>
      </c>
      <c r="H11" s="2" t="s">
        <v>28</v>
      </c>
      <c r="I11" s="2" t="s">
        <v>36</v>
      </c>
      <c r="J11" s="4" t="n">
        <v>861.18</v>
      </c>
      <c r="K11" s="2" t="n">
        <v>3</v>
      </c>
      <c r="L11" s="5" t="n">
        <v>0</v>
      </c>
      <c r="M11" s="6" t="n">
        <v>167.82</v>
      </c>
    </row>
    <row r="12" customFormat="false" ht="15" hidden="false" customHeight="false" outlineLevel="0" collapsed="false">
      <c r="A12" s="2" t="s">
        <v>54</v>
      </c>
      <c r="B12" s="3" t="n">
        <v>45677</v>
      </c>
      <c r="C12" s="3" t="n">
        <v>45679</v>
      </c>
      <c r="D12" s="2" t="s">
        <v>55</v>
      </c>
      <c r="E12" s="2" t="s">
        <v>15</v>
      </c>
      <c r="F12" s="2" t="s">
        <v>32</v>
      </c>
      <c r="G12" s="2" t="s">
        <v>39</v>
      </c>
      <c r="H12" s="2" t="s">
        <v>18</v>
      </c>
      <c r="I12" s="2" t="s">
        <v>56</v>
      </c>
      <c r="J12" s="4" t="n">
        <v>42.94</v>
      </c>
      <c r="K12" s="2" t="n">
        <v>1</v>
      </c>
      <c r="L12" s="5" t="n">
        <v>0</v>
      </c>
      <c r="M12" s="6" t="n">
        <v>6.35</v>
      </c>
    </row>
    <row r="13" customFormat="false" ht="15" hidden="false" customHeight="false" outlineLevel="0" collapsed="false">
      <c r="A13" s="2" t="s">
        <v>57</v>
      </c>
      <c r="B13" s="3" t="n">
        <v>45681</v>
      </c>
      <c r="C13" s="3" t="n">
        <v>45684</v>
      </c>
      <c r="D13" s="2" t="s">
        <v>25</v>
      </c>
      <c r="E13" s="2" t="s">
        <v>48</v>
      </c>
      <c r="F13" s="2" t="s">
        <v>32</v>
      </c>
      <c r="G13" s="2" t="s">
        <v>35</v>
      </c>
      <c r="H13" s="2" t="s">
        <v>18</v>
      </c>
      <c r="I13" s="2" t="s">
        <v>58</v>
      </c>
      <c r="J13" s="4" t="n">
        <v>35.93</v>
      </c>
      <c r="K13" s="2" t="n">
        <v>2</v>
      </c>
      <c r="L13" s="5" t="n">
        <v>0.2</v>
      </c>
      <c r="M13" s="6" t="n">
        <v>3.21</v>
      </c>
    </row>
    <row r="14" customFormat="false" ht="15" hidden="false" customHeight="false" outlineLevel="0" collapsed="false">
      <c r="A14" s="2" t="s">
        <v>59</v>
      </c>
      <c r="B14" s="3" t="n">
        <v>45684</v>
      </c>
      <c r="C14" s="3" t="n">
        <v>45687</v>
      </c>
      <c r="D14" s="2" t="s">
        <v>60</v>
      </c>
      <c r="E14" s="2" t="s">
        <v>48</v>
      </c>
      <c r="F14" s="2" t="s">
        <v>52</v>
      </c>
      <c r="G14" s="2" t="s">
        <v>61</v>
      </c>
      <c r="H14" s="2" t="s">
        <v>22</v>
      </c>
      <c r="I14" s="2" t="s">
        <v>50</v>
      </c>
      <c r="J14" s="4" t="n">
        <v>960.87</v>
      </c>
      <c r="K14" s="2" t="n">
        <v>9</v>
      </c>
      <c r="L14" s="5" t="n">
        <v>0.3</v>
      </c>
      <c r="M14" s="6" t="n">
        <v>143.99</v>
      </c>
    </row>
    <row r="15" customFormat="false" ht="15" hidden="false" customHeight="false" outlineLevel="0" collapsed="false">
      <c r="A15" s="2" t="s">
        <v>62</v>
      </c>
      <c r="B15" s="3" t="n">
        <v>45684</v>
      </c>
      <c r="C15" s="3" t="n">
        <v>45690</v>
      </c>
      <c r="D15" s="2" t="s">
        <v>31</v>
      </c>
      <c r="E15" s="2" t="s">
        <v>26</v>
      </c>
      <c r="F15" s="2" t="s">
        <v>16</v>
      </c>
      <c r="G15" s="2" t="s">
        <v>17</v>
      </c>
      <c r="H15" s="2" t="s">
        <v>28</v>
      </c>
      <c r="I15" s="2" t="s">
        <v>29</v>
      </c>
      <c r="J15" s="4" t="n">
        <v>226.78</v>
      </c>
      <c r="K15" s="2" t="n">
        <v>8</v>
      </c>
      <c r="L15" s="5" t="n">
        <v>0.2</v>
      </c>
      <c r="M15" s="6" t="n">
        <v>63.11</v>
      </c>
    </row>
    <row r="16" customFormat="false" ht="15" hidden="false" customHeight="false" outlineLevel="0" collapsed="false">
      <c r="A16" s="2" t="s">
        <v>63</v>
      </c>
      <c r="B16" s="3" t="n">
        <v>45687</v>
      </c>
      <c r="C16" s="3" t="n">
        <v>45693</v>
      </c>
      <c r="D16" s="2" t="s">
        <v>47</v>
      </c>
      <c r="E16" s="2" t="s">
        <v>26</v>
      </c>
      <c r="F16" s="2" t="s">
        <v>16</v>
      </c>
      <c r="G16" s="2" t="s">
        <v>64</v>
      </c>
      <c r="H16" s="2" t="s">
        <v>18</v>
      </c>
      <c r="I16" s="2" t="s">
        <v>19</v>
      </c>
      <c r="J16" s="4" t="n">
        <v>16.97</v>
      </c>
      <c r="K16" s="2" t="n">
        <v>1</v>
      </c>
      <c r="L16" s="5" t="n">
        <v>0.15</v>
      </c>
      <c r="M16" s="6" t="n">
        <v>5.8</v>
      </c>
    </row>
    <row r="17" customFormat="false" ht="15" hidden="false" customHeight="false" outlineLevel="0" collapsed="false">
      <c r="A17" s="2" t="s">
        <v>65</v>
      </c>
      <c r="B17" s="3" t="n">
        <v>45687</v>
      </c>
      <c r="C17" s="3" t="n">
        <v>45693</v>
      </c>
      <c r="D17" s="2" t="s">
        <v>55</v>
      </c>
      <c r="E17" s="2" t="s">
        <v>15</v>
      </c>
      <c r="F17" s="2" t="s">
        <v>52</v>
      </c>
      <c r="G17" s="2" t="s">
        <v>53</v>
      </c>
      <c r="H17" s="2" t="s">
        <v>18</v>
      </c>
      <c r="I17" s="2" t="s">
        <v>66</v>
      </c>
      <c r="J17" s="4" t="n">
        <v>34.96</v>
      </c>
      <c r="K17" s="2" t="n">
        <v>4</v>
      </c>
      <c r="L17" s="5" t="n">
        <v>0.2</v>
      </c>
      <c r="M17" s="6" t="n">
        <v>10.99</v>
      </c>
    </row>
    <row r="18" customFormat="false" ht="15" hidden="false" customHeight="false" outlineLevel="0" collapsed="false">
      <c r="A18" s="2" t="s">
        <v>67</v>
      </c>
      <c r="B18" s="3" t="n">
        <v>45689</v>
      </c>
      <c r="C18" s="3" t="n">
        <v>45692</v>
      </c>
      <c r="D18" s="2" t="s">
        <v>55</v>
      </c>
      <c r="E18" s="2" t="s">
        <v>15</v>
      </c>
      <c r="F18" s="2" t="s">
        <v>52</v>
      </c>
      <c r="G18" s="2" t="s">
        <v>53</v>
      </c>
      <c r="H18" s="2" t="s">
        <v>22</v>
      </c>
      <c r="I18" s="2" t="s">
        <v>50</v>
      </c>
      <c r="J18" s="4" t="n">
        <v>316.93</v>
      </c>
      <c r="K18" s="2" t="n">
        <v>2</v>
      </c>
      <c r="L18" s="5" t="n">
        <v>0</v>
      </c>
      <c r="M18" s="6" t="n">
        <v>48.89</v>
      </c>
    </row>
    <row r="19" customFormat="false" ht="15" hidden="false" customHeight="false" outlineLevel="0" collapsed="false">
      <c r="A19" s="2" t="s">
        <v>68</v>
      </c>
      <c r="B19" s="3" t="n">
        <v>45689</v>
      </c>
      <c r="C19" s="3" t="n">
        <v>45696</v>
      </c>
      <c r="D19" s="2" t="s">
        <v>69</v>
      </c>
      <c r="E19" s="2" t="s">
        <v>48</v>
      </c>
      <c r="F19" s="2" t="s">
        <v>52</v>
      </c>
      <c r="G19" s="2" t="s">
        <v>61</v>
      </c>
      <c r="H19" s="2" t="s">
        <v>22</v>
      </c>
      <c r="I19" s="2" t="s">
        <v>70</v>
      </c>
      <c r="J19" s="4" t="n">
        <v>165.86</v>
      </c>
      <c r="K19" s="2" t="n">
        <v>4</v>
      </c>
      <c r="L19" s="5" t="n">
        <v>0.3</v>
      </c>
      <c r="M19" s="6" t="n">
        <v>35.02</v>
      </c>
    </row>
    <row r="20" customFormat="false" ht="15" hidden="false" customHeight="false" outlineLevel="0" collapsed="false">
      <c r="A20" s="2" t="s">
        <v>71</v>
      </c>
      <c r="B20" s="3" t="n">
        <v>45690</v>
      </c>
      <c r="C20" s="3" t="n">
        <v>45694</v>
      </c>
      <c r="D20" s="2" t="s">
        <v>72</v>
      </c>
      <c r="E20" s="2" t="s">
        <v>48</v>
      </c>
      <c r="F20" s="2" t="s">
        <v>16</v>
      </c>
      <c r="G20" s="2" t="s">
        <v>17</v>
      </c>
      <c r="H20" s="2" t="s">
        <v>18</v>
      </c>
      <c r="I20" s="2" t="s">
        <v>56</v>
      </c>
      <c r="J20" s="4" t="n">
        <v>526.57</v>
      </c>
      <c r="K20" s="2" t="n">
        <v>8</v>
      </c>
      <c r="L20" s="5" t="n">
        <v>0.1</v>
      </c>
      <c r="M20" s="6" t="n">
        <v>74.83</v>
      </c>
    </row>
    <row r="21" customFormat="false" ht="15" hidden="false" customHeight="false" outlineLevel="0" collapsed="false">
      <c r="A21" s="2" t="s">
        <v>73</v>
      </c>
      <c r="B21" s="3" t="n">
        <v>45691</v>
      </c>
      <c r="C21" s="3" t="n">
        <v>45695</v>
      </c>
      <c r="D21" s="2" t="s">
        <v>74</v>
      </c>
      <c r="E21" s="2" t="s">
        <v>48</v>
      </c>
      <c r="F21" s="2" t="s">
        <v>32</v>
      </c>
      <c r="G21" s="2" t="s">
        <v>39</v>
      </c>
      <c r="H21" s="2" t="s">
        <v>18</v>
      </c>
      <c r="I21" s="2" t="s">
        <v>58</v>
      </c>
      <c r="J21" s="4" t="n">
        <v>173.9</v>
      </c>
      <c r="K21" s="2" t="n">
        <v>7</v>
      </c>
      <c r="L21" s="5" t="n">
        <v>0.2</v>
      </c>
      <c r="M21" s="6" t="n">
        <v>15.61</v>
      </c>
    </row>
    <row r="22" customFormat="false" ht="15" hidden="false" customHeight="false" outlineLevel="0" collapsed="false">
      <c r="A22" s="2" t="s">
        <v>75</v>
      </c>
      <c r="B22" s="3" t="n">
        <v>45693</v>
      </c>
      <c r="C22" s="3" t="n">
        <v>45697</v>
      </c>
      <c r="D22" s="2" t="s">
        <v>76</v>
      </c>
      <c r="E22" s="2" t="s">
        <v>48</v>
      </c>
      <c r="F22" s="2" t="s">
        <v>32</v>
      </c>
      <c r="G22" s="2" t="s">
        <v>39</v>
      </c>
      <c r="H22" s="2" t="s">
        <v>18</v>
      </c>
      <c r="I22" s="2" t="s">
        <v>66</v>
      </c>
      <c r="J22" s="4" t="n">
        <v>34.4</v>
      </c>
      <c r="K22" s="2" t="n">
        <v>4</v>
      </c>
      <c r="L22" s="5" t="n">
        <v>0</v>
      </c>
      <c r="M22" s="6" t="n">
        <v>11.69</v>
      </c>
    </row>
    <row r="23" customFormat="false" ht="15" hidden="false" customHeight="false" outlineLevel="0" collapsed="false">
      <c r="A23" s="2" t="s">
        <v>77</v>
      </c>
      <c r="B23" s="3" t="n">
        <v>45693</v>
      </c>
      <c r="C23" s="3" t="n">
        <v>45696</v>
      </c>
      <c r="D23" s="2" t="s">
        <v>72</v>
      </c>
      <c r="E23" s="2" t="s">
        <v>26</v>
      </c>
      <c r="F23" s="2" t="s">
        <v>52</v>
      </c>
      <c r="G23" s="2" t="s">
        <v>53</v>
      </c>
      <c r="H23" s="2" t="s">
        <v>18</v>
      </c>
      <c r="I23" s="2" t="s">
        <v>56</v>
      </c>
      <c r="J23" s="4" t="n">
        <v>312.09</v>
      </c>
      <c r="K23" s="2" t="n">
        <v>6</v>
      </c>
      <c r="L23" s="5" t="n">
        <v>0</v>
      </c>
      <c r="M23" s="6" t="n">
        <v>67.72</v>
      </c>
    </row>
    <row r="24" customFormat="false" ht="15" hidden="false" customHeight="false" outlineLevel="0" collapsed="false">
      <c r="A24" s="2" t="s">
        <v>78</v>
      </c>
      <c r="B24" s="3" t="n">
        <v>45693</v>
      </c>
      <c r="C24" s="3" t="n">
        <v>45698</v>
      </c>
      <c r="D24" s="2" t="s">
        <v>38</v>
      </c>
      <c r="E24" s="2" t="s">
        <v>15</v>
      </c>
      <c r="F24" s="2" t="s">
        <v>41</v>
      </c>
      <c r="G24" s="2" t="s">
        <v>79</v>
      </c>
      <c r="H24" s="2" t="s">
        <v>28</v>
      </c>
      <c r="I24" s="2" t="s">
        <v>29</v>
      </c>
      <c r="J24" s="4" t="n">
        <v>31.89</v>
      </c>
      <c r="K24" s="2" t="n">
        <v>1</v>
      </c>
      <c r="L24" s="5" t="n">
        <v>0.2</v>
      </c>
      <c r="M24" s="6" t="n">
        <v>6.58</v>
      </c>
    </row>
    <row r="25" customFormat="false" ht="15" hidden="false" customHeight="false" outlineLevel="0" collapsed="false">
      <c r="A25" s="2" t="s">
        <v>80</v>
      </c>
      <c r="B25" s="3" t="n">
        <v>45694</v>
      </c>
      <c r="C25" s="3" t="n">
        <v>45699</v>
      </c>
      <c r="D25" s="2" t="s">
        <v>38</v>
      </c>
      <c r="E25" s="2" t="s">
        <v>15</v>
      </c>
      <c r="F25" s="2" t="s">
        <v>32</v>
      </c>
      <c r="G25" s="2" t="s">
        <v>35</v>
      </c>
      <c r="H25" s="2" t="s">
        <v>28</v>
      </c>
      <c r="I25" s="2" t="s">
        <v>81</v>
      </c>
      <c r="J25" s="4" t="n">
        <v>705.46</v>
      </c>
      <c r="K25" s="2" t="n">
        <v>3</v>
      </c>
      <c r="L25" s="5" t="n">
        <v>0.15</v>
      </c>
      <c r="M25" s="6" t="n">
        <v>42.59</v>
      </c>
    </row>
    <row r="26" customFormat="false" ht="15" hidden="false" customHeight="false" outlineLevel="0" collapsed="false">
      <c r="A26" s="2" t="s">
        <v>82</v>
      </c>
      <c r="B26" s="3" t="n">
        <v>45699</v>
      </c>
      <c r="C26" s="3" t="n">
        <v>45701</v>
      </c>
      <c r="D26" s="2" t="s">
        <v>60</v>
      </c>
      <c r="E26" s="2" t="s">
        <v>48</v>
      </c>
      <c r="F26" s="2" t="s">
        <v>41</v>
      </c>
      <c r="G26" s="2" t="s">
        <v>49</v>
      </c>
      <c r="H26" s="2" t="s">
        <v>28</v>
      </c>
      <c r="I26" s="2" t="s">
        <v>36</v>
      </c>
      <c r="J26" s="4" t="n">
        <v>1381.34</v>
      </c>
      <c r="K26" s="2" t="n">
        <v>6</v>
      </c>
      <c r="L26" s="5" t="n">
        <v>0.15</v>
      </c>
      <c r="M26" s="6" t="n">
        <v>157.64</v>
      </c>
    </row>
    <row r="27" customFormat="false" ht="15" hidden="false" customHeight="false" outlineLevel="0" collapsed="false">
      <c r="A27" s="2" t="s">
        <v>83</v>
      </c>
      <c r="B27" s="3" t="n">
        <v>45703</v>
      </c>
      <c r="C27" s="3" t="n">
        <v>45710</v>
      </c>
      <c r="D27" s="2" t="s">
        <v>84</v>
      </c>
      <c r="E27" s="2" t="s">
        <v>48</v>
      </c>
      <c r="F27" s="2" t="s">
        <v>41</v>
      </c>
      <c r="G27" s="2" t="s">
        <v>42</v>
      </c>
      <c r="H27" s="2" t="s">
        <v>18</v>
      </c>
      <c r="I27" s="2" t="s">
        <v>58</v>
      </c>
      <c r="J27" s="4" t="n">
        <v>122.91</v>
      </c>
      <c r="K27" s="2" t="n">
        <v>4</v>
      </c>
      <c r="L27" s="5" t="n">
        <v>0</v>
      </c>
      <c r="M27" s="6" t="n">
        <v>7.63</v>
      </c>
    </row>
    <row r="28" customFormat="false" ht="15" hidden="false" customHeight="false" outlineLevel="0" collapsed="false">
      <c r="A28" s="2" t="s">
        <v>85</v>
      </c>
      <c r="B28" s="3" t="n">
        <v>45705</v>
      </c>
      <c r="C28" s="3" t="n">
        <v>45708</v>
      </c>
      <c r="D28" s="2" t="s">
        <v>21</v>
      </c>
      <c r="E28" s="2" t="s">
        <v>15</v>
      </c>
      <c r="F28" s="2" t="s">
        <v>41</v>
      </c>
      <c r="G28" s="2" t="s">
        <v>79</v>
      </c>
      <c r="H28" s="2" t="s">
        <v>22</v>
      </c>
      <c r="I28" s="2" t="s">
        <v>70</v>
      </c>
      <c r="J28" s="4" t="n">
        <v>332.01</v>
      </c>
      <c r="K28" s="2" t="n">
        <v>9</v>
      </c>
      <c r="L28" s="5" t="n">
        <v>0.2</v>
      </c>
      <c r="M28" s="6" t="n">
        <v>82.98</v>
      </c>
    </row>
    <row r="29" customFormat="false" ht="15" hidden="false" customHeight="false" outlineLevel="0" collapsed="false">
      <c r="A29" s="2" t="s">
        <v>86</v>
      </c>
      <c r="B29" s="3" t="n">
        <v>45705</v>
      </c>
      <c r="C29" s="3" t="n">
        <v>45710</v>
      </c>
      <c r="D29" s="2" t="s">
        <v>74</v>
      </c>
      <c r="E29" s="2" t="s">
        <v>48</v>
      </c>
      <c r="F29" s="2" t="s">
        <v>41</v>
      </c>
      <c r="G29" s="2" t="s">
        <v>42</v>
      </c>
      <c r="H29" s="2" t="s">
        <v>18</v>
      </c>
      <c r="I29" s="2" t="s">
        <v>56</v>
      </c>
      <c r="J29" s="4" t="n">
        <v>175.35</v>
      </c>
      <c r="K29" s="2" t="n">
        <v>3</v>
      </c>
      <c r="L29" s="5" t="n">
        <v>0.1</v>
      </c>
      <c r="M29" s="6" t="n">
        <v>23.97</v>
      </c>
    </row>
    <row r="30" customFormat="false" ht="15" hidden="false" customHeight="false" outlineLevel="0" collapsed="false">
      <c r="A30" s="2" t="s">
        <v>87</v>
      </c>
      <c r="B30" s="3" t="n">
        <v>45706</v>
      </c>
      <c r="C30" s="3" t="n">
        <v>45710</v>
      </c>
      <c r="D30" s="2" t="s">
        <v>55</v>
      </c>
      <c r="E30" s="2" t="s">
        <v>15</v>
      </c>
      <c r="F30" s="2" t="s">
        <v>52</v>
      </c>
      <c r="G30" s="2" t="s">
        <v>53</v>
      </c>
      <c r="H30" s="2" t="s">
        <v>18</v>
      </c>
      <c r="I30" s="2" t="s">
        <v>58</v>
      </c>
      <c r="J30" s="4" t="n">
        <v>69.28</v>
      </c>
      <c r="K30" s="2" t="n">
        <v>4</v>
      </c>
      <c r="L30" s="5" t="n">
        <v>0.3</v>
      </c>
      <c r="M30" s="6" t="n">
        <v>5.22</v>
      </c>
    </row>
    <row r="31" customFormat="false" ht="15" hidden="false" customHeight="false" outlineLevel="0" collapsed="false">
      <c r="A31" s="2" t="s">
        <v>88</v>
      </c>
      <c r="B31" s="3" t="n">
        <v>45708</v>
      </c>
      <c r="C31" s="3" t="n">
        <v>45715</v>
      </c>
      <c r="D31" s="2" t="s">
        <v>89</v>
      </c>
      <c r="E31" s="2" t="s">
        <v>26</v>
      </c>
      <c r="F31" s="2" t="s">
        <v>32</v>
      </c>
      <c r="G31" s="2" t="s">
        <v>35</v>
      </c>
      <c r="H31" s="2" t="s">
        <v>18</v>
      </c>
      <c r="I31" s="2" t="s">
        <v>66</v>
      </c>
      <c r="J31" s="4" t="n">
        <v>117.28</v>
      </c>
      <c r="K31" s="2" t="n">
        <v>7</v>
      </c>
      <c r="L31" s="5" t="n">
        <v>0</v>
      </c>
      <c r="M31" s="6" t="n">
        <v>37.82</v>
      </c>
    </row>
    <row r="32" customFormat="false" ht="15" hidden="false" customHeight="false" outlineLevel="0" collapsed="false">
      <c r="A32" s="2" t="s">
        <v>90</v>
      </c>
      <c r="B32" s="3" t="n">
        <v>45709</v>
      </c>
      <c r="C32" s="3" t="n">
        <v>45715</v>
      </c>
      <c r="D32" s="2" t="s">
        <v>91</v>
      </c>
      <c r="E32" s="2" t="s">
        <v>48</v>
      </c>
      <c r="F32" s="2" t="s">
        <v>32</v>
      </c>
      <c r="G32" s="2" t="s">
        <v>39</v>
      </c>
      <c r="H32" s="2" t="s">
        <v>18</v>
      </c>
      <c r="I32" s="2" t="s">
        <v>58</v>
      </c>
      <c r="J32" s="4" t="n">
        <v>85.86</v>
      </c>
      <c r="K32" s="2" t="n">
        <v>4</v>
      </c>
      <c r="L32" s="5" t="n">
        <v>0</v>
      </c>
      <c r="M32" s="6" t="n">
        <v>3.91</v>
      </c>
    </row>
    <row r="33" customFormat="false" ht="15" hidden="false" customHeight="false" outlineLevel="0" collapsed="false">
      <c r="A33" s="2" t="s">
        <v>92</v>
      </c>
      <c r="B33" s="3" t="n">
        <v>45709</v>
      </c>
      <c r="C33" s="3" t="n">
        <v>45715</v>
      </c>
      <c r="D33" s="2" t="s">
        <v>38</v>
      </c>
      <c r="E33" s="2" t="s">
        <v>15</v>
      </c>
      <c r="F33" s="2" t="s">
        <v>41</v>
      </c>
      <c r="G33" s="2" t="s">
        <v>42</v>
      </c>
      <c r="H33" s="2" t="s">
        <v>22</v>
      </c>
      <c r="I33" s="2" t="s">
        <v>23</v>
      </c>
      <c r="J33" s="4" t="n">
        <v>1740.89</v>
      </c>
      <c r="K33" s="2" t="n">
        <v>7</v>
      </c>
      <c r="L33" s="5" t="n">
        <v>0</v>
      </c>
      <c r="M33" s="6" t="n">
        <v>7.08</v>
      </c>
    </row>
    <row r="34" customFormat="false" ht="15" hidden="false" customHeight="false" outlineLevel="0" collapsed="false">
      <c r="A34" s="2" t="s">
        <v>93</v>
      </c>
      <c r="B34" s="3" t="n">
        <v>45710</v>
      </c>
      <c r="C34" s="3" t="n">
        <v>45717</v>
      </c>
      <c r="D34" s="2" t="s">
        <v>14</v>
      </c>
      <c r="E34" s="2" t="s">
        <v>48</v>
      </c>
      <c r="F34" s="2" t="s">
        <v>16</v>
      </c>
      <c r="G34" s="2" t="s">
        <v>17</v>
      </c>
      <c r="H34" s="2" t="s">
        <v>18</v>
      </c>
      <c r="I34" s="2" t="s">
        <v>58</v>
      </c>
      <c r="J34" s="4" t="n">
        <v>60.26</v>
      </c>
      <c r="K34" s="2" t="n">
        <v>4</v>
      </c>
      <c r="L34" s="5" t="n">
        <v>0.2</v>
      </c>
      <c r="M34" s="6" t="n">
        <v>6.81</v>
      </c>
    </row>
    <row r="35" customFormat="false" ht="15" hidden="false" customHeight="false" outlineLevel="0" collapsed="false">
      <c r="A35" s="2" t="s">
        <v>94</v>
      </c>
      <c r="B35" s="3" t="n">
        <v>45714</v>
      </c>
      <c r="C35" s="3" t="n">
        <v>45718</v>
      </c>
      <c r="D35" s="2" t="s">
        <v>84</v>
      </c>
      <c r="E35" s="2" t="s">
        <v>15</v>
      </c>
      <c r="F35" s="2" t="s">
        <v>52</v>
      </c>
      <c r="G35" s="2" t="s">
        <v>61</v>
      </c>
      <c r="H35" s="2" t="s">
        <v>18</v>
      </c>
      <c r="I35" s="2" t="s">
        <v>66</v>
      </c>
      <c r="J35" s="4" t="n">
        <v>31.22</v>
      </c>
      <c r="K35" s="2" t="n">
        <v>3</v>
      </c>
      <c r="L35" s="5" t="n">
        <v>0.2</v>
      </c>
      <c r="M35" s="6" t="n">
        <v>11.27</v>
      </c>
    </row>
    <row r="36" customFormat="false" ht="15" hidden="false" customHeight="false" outlineLevel="0" collapsed="false">
      <c r="A36" s="2" t="s">
        <v>95</v>
      </c>
      <c r="B36" s="3" t="n">
        <v>45717</v>
      </c>
      <c r="C36" s="3" t="n">
        <v>45719</v>
      </c>
      <c r="D36" s="2" t="s">
        <v>84</v>
      </c>
      <c r="E36" s="2" t="s">
        <v>48</v>
      </c>
      <c r="F36" s="2" t="s">
        <v>52</v>
      </c>
      <c r="G36" s="2" t="s">
        <v>61</v>
      </c>
      <c r="H36" s="2" t="s">
        <v>28</v>
      </c>
      <c r="I36" s="2" t="s">
        <v>81</v>
      </c>
      <c r="J36" s="4" t="n">
        <v>558.49</v>
      </c>
      <c r="K36" s="2" t="n">
        <v>2</v>
      </c>
      <c r="L36" s="5" t="n">
        <v>0</v>
      </c>
      <c r="M36" s="6" t="n">
        <v>11.41</v>
      </c>
    </row>
    <row r="37" customFormat="false" ht="15" hidden="false" customHeight="false" outlineLevel="0" collapsed="false">
      <c r="A37" s="2" t="s">
        <v>96</v>
      </c>
      <c r="B37" s="3" t="n">
        <v>45718</v>
      </c>
      <c r="C37" s="3" t="n">
        <v>45725</v>
      </c>
      <c r="D37" s="2" t="s">
        <v>69</v>
      </c>
      <c r="E37" s="2" t="s">
        <v>15</v>
      </c>
      <c r="F37" s="2" t="s">
        <v>52</v>
      </c>
      <c r="G37" s="2" t="s">
        <v>53</v>
      </c>
      <c r="H37" s="2" t="s">
        <v>28</v>
      </c>
      <c r="I37" s="2" t="s">
        <v>81</v>
      </c>
      <c r="J37" s="4" t="n">
        <v>420.07</v>
      </c>
      <c r="K37" s="2" t="n">
        <v>2</v>
      </c>
      <c r="L37" s="5" t="n">
        <v>0.3</v>
      </c>
      <c r="M37" s="6" t="n">
        <v>34.15</v>
      </c>
    </row>
    <row r="38" customFormat="false" ht="15" hidden="false" customHeight="false" outlineLevel="0" collapsed="false">
      <c r="A38" s="2" t="s">
        <v>97</v>
      </c>
      <c r="B38" s="3" t="n">
        <v>45718</v>
      </c>
      <c r="C38" s="3" t="n">
        <v>45725</v>
      </c>
      <c r="D38" s="2" t="s">
        <v>31</v>
      </c>
      <c r="E38" s="2" t="s">
        <v>26</v>
      </c>
      <c r="F38" s="2" t="s">
        <v>16</v>
      </c>
      <c r="G38" s="2" t="s">
        <v>17</v>
      </c>
      <c r="H38" s="2" t="s">
        <v>22</v>
      </c>
      <c r="I38" s="2" t="s">
        <v>43</v>
      </c>
      <c r="J38" s="4" t="n">
        <v>2054.87</v>
      </c>
      <c r="K38" s="2" t="n">
        <v>5</v>
      </c>
      <c r="L38" s="5" t="n">
        <v>0</v>
      </c>
      <c r="M38" s="6" t="n">
        <v>-182.51</v>
      </c>
    </row>
    <row r="39" customFormat="false" ht="15" hidden="false" customHeight="false" outlineLevel="0" collapsed="false">
      <c r="A39" s="2" t="s">
        <v>98</v>
      </c>
      <c r="B39" s="3" t="n">
        <v>45722</v>
      </c>
      <c r="C39" s="3" t="n">
        <v>45726</v>
      </c>
      <c r="D39" s="2" t="s">
        <v>91</v>
      </c>
      <c r="E39" s="2" t="s">
        <v>48</v>
      </c>
      <c r="F39" s="2" t="s">
        <v>41</v>
      </c>
      <c r="G39" s="2" t="s">
        <v>79</v>
      </c>
      <c r="H39" s="2" t="s">
        <v>18</v>
      </c>
      <c r="I39" s="2" t="s">
        <v>58</v>
      </c>
      <c r="J39" s="4" t="n">
        <v>66.47</v>
      </c>
      <c r="K39" s="2" t="n">
        <v>2</v>
      </c>
      <c r="L39" s="5" t="n">
        <v>0</v>
      </c>
      <c r="M39" s="6" t="n">
        <v>6.04</v>
      </c>
    </row>
    <row r="40" customFormat="false" ht="15" hidden="false" customHeight="false" outlineLevel="0" collapsed="false">
      <c r="A40" s="2" t="s">
        <v>99</v>
      </c>
      <c r="B40" s="3" t="n">
        <v>45722</v>
      </c>
      <c r="C40" s="3" t="n">
        <v>45726</v>
      </c>
      <c r="D40" s="2" t="s">
        <v>47</v>
      </c>
      <c r="E40" s="2" t="s">
        <v>15</v>
      </c>
      <c r="F40" s="2" t="s">
        <v>41</v>
      </c>
      <c r="G40" s="2" t="s">
        <v>79</v>
      </c>
      <c r="H40" s="2" t="s">
        <v>28</v>
      </c>
      <c r="I40" s="2" t="s">
        <v>36</v>
      </c>
      <c r="J40" s="4" t="n">
        <v>1255.95</v>
      </c>
      <c r="K40" s="2" t="n">
        <v>8</v>
      </c>
      <c r="L40" s="5" t="n">
        <v>0.3</v>
      </c>
      <c r="M40" s="6" t="n">
        <v>189.58</v>
      </c>
    </row>
    <row r="41" customFormat="false" ht="15" hidden="false" customHeight="false" outlineLevel="0" collapsed="false">
      <c r="A41" s="2" t="s">
        <v>100</v>
      </c>
      <c r="B41" s="3" t="n">
        <v>45724</v>
      </c>
      <c r="C41" s="3" t="n">
        <v>45729</v>
      </c>
      <c r="D41" s="2" t="s">
        <v>101</v>
      </c>
      <c r="E41" s="2" t="s">
        <v>26</v>
      </c>
      <c r="F41" s="2" t="s">
        <v>16</v>
      </c>
      <c r="G41" s="2" t="s">
        <v>64</v>
      </c>
      <c r="H41" s="2" t="s">
        <v>28</v>
      </c>
      <c r="I41" s="2" t="s">
        <v>36</v>
      </c>
      <c r="J41" s="4" t="n">
        <v>696.63</v>
      </c>
      <c r="K41" s="2" t="n">
        <v>6</v>
      </c>
      <c r="L41" s="5" t="n">
        <v>0.3</v>
      </c>
      <c r="M41" s="6" t="n">
        <v>130.98</v>
      </c>
    </row>
    <row r="42" customFormat="false" ht="15" hidden="false" customHeight="false" outlineLevel="0" collapsed="false">
      <c r="A42" s="2" t="s">
        <v>102</v>
      </c>
      <c r="B42" s="3" t="n">
        <v>45725</v>
      </c>
      <c r="C42" s="3" t="n">
        <v>45727</v>
      </c>
      <c r="D42" s="2" t="s">
        <v>14</v>
      </c>
      <c r="E42" s="2" t="s">
        <v>15</v>
      </c>
      <c r="F42" s="2" t="s">
        <v>32</v>
      </c>
      <c r="G42" s="2" t="s">
        <v>39</v>
      </c>
      <c r="H42" s="2" t="s">
        <v>28</v>
      </c>
      <c r="I42" s="2" t="s">
        <v>36</v>
      </c>
      <c r="J42" s="4" t="n">
        <v>173.17</v>
      </c>
      <c r="K42" s="2" t="n">
        <v>1</v>
      </c>
      <c r="L42" s="5" t="n">
        <v>0.1</v>
      </c>
      <c r="M42" s="6" t="n">
        <v>19.63</v>
      </c>
    </row>
    <row r="43" customFormat="false" ht="15" hidden="false" customHeight="false" outlineLevel="0" collapsed="false">
      <c r="A43" s="2" t="s">
        <v>103</v>
      </c>
      <c r="B43" s="3" t="n">
        <v>45728</v>
      </c>
      <c r="C43" s="3" t="n">
        <v>45731</v>
      </c>
      <c r="D43" s="2" t="s">
        <v>84</v>
      </c>
      <c r="E43" s="2" t="s">
        <v>15</v>
      </c>
      <c r="F43" s="2" t="s">
        <v>41</v>
      </c>
      <c r="G43" s="2" t="s">
        <v>42</v>
      </c>
      <c r="H43" s="2" t="s">
        <v>28</v>
      </c>
      <c r="I43" s="2" t="s">
        <v>81</v>
      </c>
      <c r="J43" s="4" t="n">
        <v>1246.28</v>
      </c>
      <c r="K43" s="2" t="n">
        <v>4</v>
      </c>
      <c r="L43" s="5" t="n">
        <v>0</v>
      </c>
      <c r="M43" s="6" t="n">
        <v>98.83</v>
      </c>
    </row>
    <row r="44" customFormat="false" ht="15" hidden="false" customHeight="false" outlineLevel="0" collapsed="false">
      <c r="A44" s="2" t="s">
        <v>104</v>
      </c>
      <c r="B44" s="3" t="n">
        <v>45733</v>
      </c>
      <c r="C44" s="3" t="n">
        <v>45740</v>
      </c>
      <c r="D44" s="2" t="s">
        <v>72</v>
      </c>
      <c r="E44" s="2" t="s">
        <v>26</v>
      </c>
      <c r="F44" s="2" t="s">
        <v>16</v>
      </c>
      <c r="G44" s="2" t="s">
        <v>27</v>
      </c>
      <c r="H44" s="2" t="s">
        <v>28</v>
      </c>
      <c r="I44" s="2" t="s">
        <v>36</v>
      </c>
      <c r="J44" s="4" t="n">
        <v>909.35</v>
      </c>
      <c r="K44" s="2" t="n">
        <v>4</v>
      </c>
      <c r="L44" s="5" t="n">
        <v>0.1</v>
      </c>
      <c r="M44" s="6" t="n">
        <v>144.98</v>
      </c>
    </row>
    <row r="45" customFormat="false" ht="15" hidden="false" customHeight="false" outlineLevel="0" collapsed="false">
      <c r="A45" s="2" t="s">
        <v>105</v>
      </c>
      <c r="B45" s="3" t="n">
        <v>45734</v>
      </c>
      <c r="C45" s="3" t="n">
        <v>45740</v>
      </c>
      <c r="D45" s="2" t="s">
        <v>101</v>
      </c>
      <c r="E45" s="2" t="s">
        <v>26</v>
      </c>
      <c r="F45" s="2" t="s">
        <v>52</v>
      </c>
      <c r="G45" s="2" t="s">
        <v>106</v>
      </c>
      <c r="H45" s="2" t="s">
        <v>22</v>
      </c>
      <c r="I45" s="2" t="s">
        <v>23</v>
      </c>
      <c r="J45" s="4" t="n">
        <v>554.18</v>
      </c>
      <c r="K45" s="2" t="n">
        <v>3</v>
      </c>
      <c r="L45" s="5" t="n">
        <v>0.3</v>
      </c>
      <c r="M45" s="6" t="n">
        <v>15.17</v>
      </c>
    </row>
    <row r="46" customFormat="false" ht="15" hidden="false" customHeight="false" outlineLevel="0" collapsed="false">
      <c r="A46" s="2" t="s">
        <v>107</v>
      </c>
      <c r="B46" s="3" t="n">
        <v>45734</v>
      </c>
      <c r="C46" s="3" t="n">
        <v>45738</v>
      </c>
      <c r="D46" s="2" t="s">
        <v>25</v>
      </c>
      <c r="E46" s="2" t="s">
        <v>26</v>
      </c>
      <c r="F46" s="2" t="s">
        <v>52</v>
      </c>
      <c r="G46" s="2" t="s">
        <v>53</v>
      </c>
      <c r="H46" s="2" t="s">
        <v>22</v>
      </c>
      <c r="I46" s="2" t="s">
        <v>43</v>
      </c>
      <c r="J46" s="4" t="n">
        <v>2625.13</v>
      </c>
      <c r="K46" s="2" t="n">
        <v>7</v>
      </c>
      <c r="L46" s="5" t="n">
        <v>0</v>
      </c>
      <c r="M46" s="6" t="n">
        <v>-105.97</v>
      </c>
    </row>
    <row r="47" customFormat="false" ht="15" hidden="false" customHeight="false" outlineLevel="0" collapsed="false">
      <c r="A47" s="2" t="s">
        <v>108</v>
      </c>
      <c r="B47" s="3" t="n">
        <v>45740</v>
      </c>
      <c r="C47" s="3" t="n">
        <v>45747</v>
      </c>
      <c r="D47" s="2" t="s">
        <v>109</v>
      </c>
      <c r="E47" s="2" t="s">
        <v>48</v>
      </c>
      <c r="F47" s="2" t="s">
        <v>32</v>
      </c>
      <c r="G47" s="2" t="s">
        <v>39</v>
      </c>
      <c r="H47" s="2" t="s">
        <v>28</v>
      </c>
      <c r="I47" s="2" t="s">
        <v>81</v>
      </c>
      <c r="J47" s="4" t="n">
        <v>1279.01</v>
      </c>
      <c r="K47" s="2" t="n">
        <v>5</v>
      </c>
      <c r="L47" s="5" t="n">
        <v>0</v>
      </c>
      <c r="M47" s="6" t="n">
        <v>85.84</v>
      </c>
    </row>
    <row r="48" customFormat="false" ht="15" hidden="false" customHeight="false" outlineLevel="0" collapsed="false">
      <c r="A48" s="2" t="s">
        <v>110</v>
      </c>
      <c r="B48" s="3" t="n">
        <v>45740</v>
      </c>
      <c r="C48" s="3" t="n">
        <v>45743</v>
      </c>
      <c r="D48" s="2" t="s">
        <v>69</v>
      </c>
      <c r="E48" s="2" t="s">
        <v>15</v>
      </c>
      <c r="F48" s="2" t="s">
        <v>52</v>
      </c>
      <c r="G48" s="2" t="s">
        <v>61</v>
      </c>
      <c r="H48" s="2" t="s">
        <v>22</v>
      </c>
      <c r="I48" s="2" t="s">
        <v>43</v>
      </c>
      <c r="J48" s="4" t="n">
        <v>2455.62</v>
      </c>
      <c r="K48" s="2" t="n">
        <v>8</v>
      </c>
      <c r="L48" s="5" t="n">
        <v>0</v>
      </c>
      <c r="M48" s="6" t="n">
        <v>-79.04</v>
      </c>
    </row>
    <row r="49" customFormat="false" ht="15" hidden="false" customHeight="false" outlineLevel="0" collapsed="false">
      <c r="A49" s="2" t="s">
        <v>111</v>
      </c>
      <c r="B49" s="3" t="n">
        <v>45742</v>
      </c>
      <c r="C49" s="3" t="n">
        <v>45747</v>
      </c>
      <c r="D49" s="2" t="s">
        <v>69</v>
      </c>
      <c r="E49" s="2" t="s">
        <v>48</v>
      </c>
      <c r="F49" s="2" t="s">
        <v>52</v>
      </c>
      <c r="G49" s="2" t="s">
        <v>53</v>
      </c>
      <c r="H49" s="2" t="s">
        <v>18</v>
      </c>
      <c r="I49" s="2" t="s">
        <v>66</v>
      </c>
      <c r="J49" s="4" t="n">
        <v>60.31</v>
      </c>
      <c r="K49" s="2" t="n">
        <v>5</v>
      </c>
      <c r="L49" s="5" t="n">
        <v>0</v>
      </c>
      <c r="M49" s="6" t="n">
        <v>20.44</v>
      </c>
    </row>
    <row r="50" customFormat="false" ht="15" hidden="false" customHeight="false" outlineLevel="0" collapsed="false">
      <c r="A50" s="2" t="s">
        <v>112</v>
      </c>
      <c r="B50" s="3" t="n">
        <v>45742</v>
      </c>
      <c r="C50" s="3" t="n">
        <v>45746</v>
      </c>
      <c r="D50" s="2" t="s">
        <v>101</v>
      </c>
      <c r="E50" s="2" t="s">
        <v>15</v>
      </c>
      <c r="F50" s="2" t="s">
        <v>16</v>
      </c>
      <c r="G50" s="2" t="s">
        <v>64</v>
      </c>
      <c r="H50" s="2" t="s">
        <v>22</v>
      </c>
      <c r="I50" s="2" t="s">
        <v>23</v>
      </c>
      <c r="J50" s="4" t="n">
        <v>239.39</v>
      </c>
      <c r="K50" s="2" t="n">
        <v>1</v>
      </c>
      <c r="L50" s="5" t="n">
        <v>0.15</v>
      </c>
      <c r="M50" s="6" t="n">
        <v>0.05</v>
      </c>
    </row>
    <row r="51" customFormat="false" ht="15" hidden="false" customHeight="false" outlineLevel="0" collapsed="false">
      <c r="A51" s="2" t="s">
        <v>113</v>
      </c>
      <c r="B51" s="3" t="n">
        <v>45751</v>
      </c>
      <c r="C51" s="3" t="n">
        <v>45753</v>
      </c>
      <c r="D51" s="2" t="s">
        <v>60</v>
      </c>
      <c r="E51" s="2" t="s">
        <v>15</v>
      </c>
      <c r="F51" s="2" t="s">
        <v>52</v>
      </c>
      <c r="G51" s="2" t="s">
        <v>106</v>
      </c>
      <c r="H51" s="2" t="s">
        <v>22</v>
      </c>
      <c r="I51" s="2" t="s">
        <v>70</v>
      </c>
      <c r="J51" s="4" t="n">
        <v>40.97</v>
      </c>
      <c r="K51" s="2" t="n">
        <v>1</v>
      </c>
      <c r="L51" s="5" t="n">
        <v>0.1</v>
      </c>
      <c r="M51" s="6" t="n">
        <v>6.7</v>
      </c>
    </row>
    <row r="52" customFormat="false" ht="15" hidden="false" customHeight="false" outlineLevel="0" collapsed="false">
      <c r="A52" s="2" t="s">
        <v>114</v>
      </c>
      <c r="B52" s="3" t="n">
        <v>45754</v>
      </c>
      <c r="C52" s="3" t="n">
        <v>45760</v>
      </c>
      <c r="D52" s="2" t="s">
        <v>91</v>
      </c>
      <c r="E52" s="2" t="s">
        <v>26</v>
      </c>
      <c r="F52" s="2" t="s">
        <v>41</v>
      </c>
      <c r="G52" s="2" t="s">
        <v>79</v>
      </c>
      <c r="H52" s="2" t="s">
        <v>22</v>
      </c>
      <c r="I52" s="2" t="s">
        <v>23</v>
      </c>
      <c r="J52" s="4" t="n">
        <v>901.36</v>
      </c>
      <c r="K52" s="2" t="n">
        <v>5</v>
      </c>
      <c r="L52" s="5" t="n">
        <v>0.15</v>
      </c>
      <c r="M52" s="6" t="n">
        <v>36.32</v>
      </c>
    </row>
    <row r="53" customFormat="false" ht="15" hidden="false" customHeight="false" outlineLevel="0" collapsed="false">
      <c r="A53" s="2" t="s">
        <v>115</v>
      </c>
      <c r="B53" s="3" t="n">
        <v>45755</v>
      </c>
      <c r="C53" s="3" t="n">
        <v>45757</v>
      </c>
      <c r="D53" s="2" t="s">
        <v>109</v>
      </c>
      <c r="E53" s="2" t="s">
        <v>15</v>
      </c>
      <c r="F53" s="2" t="s">
        <v>41</v>
      </c>
      <c r="G53" s="2" t="s">
        <v>79</v>
      </c>
      <c r="H53" s="2" t="s">
        <v>28</v>
      </c>
      <c r="I53" s="2" t="s">
        <v>36</v>
      </c>
      <c r="J53" s="4" t="n">
        <v>944.85</v>
      </c>
      <c r="K53" s="2" t="n">
        <v>7</v>
      </c>
      <c r="L53" s="5" t="n">
        <v>0.2</v>
      </c>
      <c r="M53" s="6" t="n">
        <v>126.82</v>
      </c>
    </row>
    <row r="54" customFormat="false" ht="15" hidden="false" customHeight="false" outlineLevel="0" collapsed="false">
      <c r="A54" s="2" t="s">
        <v>116</v>
      </c>
      <c r="B54" s="3" t="n">
        <v>45756</v>
      </c>
      <c r="C54" s="3" t="n">
        <v>45761</v>
      </c>
      <c r="D54" s="2" t="s">
        <v>25</v>
      </c>
      <c r="E54" s="2" t="s">
        <v>48</v>
      </c>
      <c r="F54" s="2" t="s">
        <v>16</v>
      </c>
      <c r="G54" s="2" t="s">
        <v>17</v>
      </c>
      <c r="H54" s="2" t="s">
        <v>28</v>
      </c>
      <c r="I54" s="2" t="s">
        <v>81</v>
      </c>
      <c r="J54" s="4" t="n">
        <v>1819.52</v>
      </c>
      <c r="K54" s="2" t="n">
        <v>7</v>
      </c>
      <c r="L54" s="5" t="n">
        <v>0.2</v>
      </c>
      <c r="M54" s="6" t="n">
        <v>35.6</v>
      </c>
    </row>
    <row r="55" customFormat="false" ht="15" hidden="false" customHeight="false" outlineLevel="0" collapsed="false">
      <c r="A55" s="2" t="s">
        <v>117</v>
      </c>
      <c r="B55" s="3" t="n">
        <v>45756</v>
      </c>
      <c r="C55" s="3" t="n">
        <v>45759</v>
      </c>
      <c r="D55" s="2" t="s">
        <v>31</v>
      </c>
      <c r="E55" s="2" t="s">
        <v>15</v>
      </c>
      <c r="F55" s="2" t="s">
        <v>16</v>
      </c>
      <c r="G55" s="2" t="s">
        <v>17</v>
      </c>
      <c r="H55" s="2" t="s">
        <v>18</v>
      </c>
      <c r="I55" s="2" t="s">
        <v>66</v>
      </c>
      <c r="J55" s="4" t="n">
        <v>28.92</v>
      </c>
      <c r="K55" s="2" t="n">
        <v>2</v>
      </c>
      <c r="L55" s="5" t="n">
        <v>0</v>
      </c>
      <c r="M55" s="6" t="n">
        <v>9.02</v>
      </c>
    </row>
    <row r="56" customFormat="false" ht="15" hidden="false" customHeight="false" outlineLevel="0" collapsed="false">
      <c r="A56" s="2" t="s">
        <v>118</v>
      </c>
      <c r="B56" s="3" t="n">
        <v>45766</v>
      </c>
      <c r="C56" s="3" t="n">
        <v>45773</v>
      </c>
      <c r="D56" s="2" t="s">
        <v>31</v>
      </c>
      <c r="E56" s="2" t="s">
        <v>15</v>
      </c>
      <c r="F56" s="2" t="s">
        <v>32</v>
      </c>
      <c r="G56" s="2" t="s">
        <v>39</v>
      </c>
      <c r="H56" s="2" t="s">
        <v>18</v>
      </c>
      <c r="I56" s="2" t="s">
        <v>58</v>
      </c>
      <c r="J56" s="4" t="n">
        <v>79.3</v>
      </c>
      <c r="K56" s="2" t="n">
        <v>5</v>
      </c>
      <c r="L56" s="5" t="n">
        <v>0.15</v>
      </c>
      <c r="M56" s="6" t="n">
        <v>9.33</v>
      </c>
    </row>
    <row r="57" customFormat="false" ht="15" hidden="false" customHeight="false" outlineLevel="0" collapsed="false">
      <c r="A57" s="2" t="s">
        <v>119</v>
      </c>
      <c r="B57" s="3" t="n">
        <v>45766</v>
      </c>
      <c r="C57" s="3" t="n">
        <v>45772</v>
      </c>
      <c r="D57" s="2" t="s">
        <v>45</v>
      </c>
      <c r="E57" s="2" t="s">
        <v>48</v>
      </c>
      <c r="F57" s="2" t="s">
        <v>52</v>
      </c>
      <c r="G57" s="2" t="s">
        <v>106</v>
      </c>
      <c r="H57" s="2" t="s">
        <v>28</v>
      </c>
      <c r="I57" s="2" t="s">
        <v>81</v>
      </c>
      <c r="J57" s="4" t="n">
        <v>2183.74</v>
      </c>
      <c r="K57" s="2" t="n">
        <v>9</v>
      </c>
      <c r="L57" s="5" t="n">
        <v>0.15</v>
      </c>
      <c r="M57" s="6" t="n">
        <v>168.68</v>
      </c>
    </row>
    <row r="58" customFormat="false" ht="15" hidden="false" customHeight="false" outlineLevel="0" collapsed="false">
      <c r="A58" s="2" t="s">
        <v>120</v>
      </c>
      <c r="B58" s="3" t="n">
        <v>45769</v>
      </c>
      <c r="C58" s="3" t="n">
        <v>45774</v>
      </c>
      <c r="D58" s="2" t="s">
        <v>109</v>
      </c>
      <c r="E58" s="2" t="s">
        <v>26</v>
      </c>
      <c r="F58" s="2" t="s">
        <v>32</v>
      </c>
      <c r="G58" s="2" t="s">
        <v>33</v>
      </c>
      <c r="H58" s="2" t="s">
        <v>22</v>
      </c>
      <c r="I58" s="2" t="s">
        <v>70</v>
      </c>
      <c r="J58" s="4" t="n">
        <v>570.08</v>
      </c>
      <c r="K58" s="2" t="n">
        <v>7</v>
      </c>
      <c r="L58" s="5" t="n">
        <v>0</v>
      </c>
      <c r="M58" s="6" t="n">
        <v>87.38</v>
      </c>
    </row>
    <row r="59" customFormat="false" ht="15" hidden="false" customHeight="false" outlineLevel="0" collapsed="false">
      <c r="A59" s="2" t="s">
        <v>121</v>
      </c>
      <c r="B59" s="3" t="n">
        <v>45772</v>
      </c>
      <c r="C59" s="3" t="n">
        <v>45774</v>
      </c>
      <c r="D59" s="2" t="s">
        <v>76</v>
      </c>
      <c r="E59" s="2" t="s">
        <v>48</v>
      </c>
      <c r="F59" s="2" t="s">
        <v>52</v>
      </c>
      <c r="G59" s="2" t="s">
        <v>106</v>
      </c>
      <c r="H59" s="2" t="s">
        <v>18</v>
      </c>
      <c r="I59" s="2" t="s">
        <v>56</v>
      </c>
      <c r="J59" s="4" t="n">
        <v>216.69</v>
      </c>
      <c r="K59" s="2" t="n">
        <v>6</v>
      </c>
      <c r="L59" s="5" t="n">
        <v>0.15</v>
      </c>
      <c r="M59" s="6" t="n">
        <v>32.78</v>
      </c>
    </row>
    <row r="60" customFormat="false" ht="15" hidden="false" customHeight="false" outlineLevel="0" collapsed="false">
      <c r="A60" s="2" t="s">
        <v>122</v>
      </c>
      <c r="B60" s="3" t="n">
        <v>45773</v>
      </c>
      <c r="C60" s="3" t="n">
        <v>45780</v>
      </c>
      <c r="D60" s="2" t="s">
        <v>25</v>
      </c>
      <c r="E60" s="2" t="s">
        <v>48</v>
      </c>
      <c r="F60" s="2" t="s">
        <v>16</v>
      </c>
      <c r="G60" s="2" t="s">
        <v>27</v>
      </c>
      <c r="H60" s="2" t="s">
        <v>18</v>
      </c>
      <c r="I60" s="2" t="s">
        <v>56</v>
      </c>
      <c r="J60" s="4" t="n">
        <v>375.1</v>
      </c>
      <c r="K60" s="2" t="n">
        <v>6</v>
      </c>
      <c r="L60" s="5" t="n">
        <v>0.1</v>
      </c>
      <c r="M60" s="6" t="n">
        <v>84.88</v>
      </c>
    </row>
    <row r="61" customFormat="false" ht="15" hidden="false" customHeight="false" outlineLevel="0" collapsed="false">
      <c r="A61" s="2" t="s">
        <v>123</v>
      </c>
      <c r="B61" s="3" t="n">
        <v>45777</v>
      </c>
      <c r="C61" s="3" t="n">
        <v>45783</v>
      </c>
      <c r="D61" s="2" t="s">
        <v>84</v>
      </c>
      <c r="E61" s="2" t="s">
        <v>15</v>
      </c>
      <c r="F61" s="2" t="s">
        <v>52</v>
      </c>
      <c r="G61" s="2" t="s">
        <v>106</v>
      </c>
      <c r="H61" s="2" t="s">
        <v>28</v>
      </c>
      <c r="I61" s="2" t="s">
        <v>29</v>
      </c>
      <c r="J61" s="4" t="n">
        <v>252.54</v>
      </c>
      <c r="K61" s="2" t="n">
        <v>8</v>
      </c>
      <c r="L61" s="5" t="n">
        <v>0.3</v>
      </c>
      <c r="M61" s="6" t="n">
        <v>69.41</v>
      </c>
    </row>
    <row r="62" customFormat="false" ht="15" hidden="false" customHeight="false" outlineLevel="0" collapsed="false">
      <c r="A62" s="2" t="s">
        <v>124</v>
      </c>
      <c r="B62" s="3" t="n">
        <v>45779</v>
      </c>
      <c r="C62" s="3" t="n">
        <v>45783</v>
      </c>
      <c r="D62" s="2" t="s">
        <v>69</v>
      </c>
      <c r="E62" s="2" t="s">
        <v>48</v>
      </c>
      <c r="F62" s="2" t="s">
        <v>32</v>
      </c>
      <c r="G62" s="2" t="s">
        <v>39</v>
      </c>
      <c r="H62" s="2" t="s">
        <v>18</v>
      </c>
      <c r="I62" s="2" t="s">
        <v>66</v>
      </c>
      <c r="J62" s="4" t="n">
        <v>55.65</v>
      </c>
      <c r="K62" s="2" t="n">
        <v>6</v>
      </c>
      <c r="L62" s="5" t="n">
        <v>0.3</v>
      </c>
      <c r="M62" s="6" t="n">
        <v>20.44</v>
      </c>
    </row>
    <row r="63" customFormat="false" ht="15" hidden="false" customHeight="false" outlineLevel="0" collapsed="false">
      <c r="A63" s="2" t="s">
        <v>125</v>
      </c>
      <c r="B63" s="3" t="n">
        <v>45780</v>
      </c>
      <c r="C63" s="3" t="n">
        <v>45784</v>
      </c>
      <c r="D63" s="2" t="s">
        <v>25</v>
      </c>
      <c r="E63" s="2" t="s">
        <v>26</v>
      </c>
      <c r="F63" s="2" t="s">
        <v>32</v>
      </c>
      <c r="G63" s="2" t="s">
        <v>39</v>
      </c>
      <c r="H63" s="2" t="s">
        <v>28</v>
      </c>
      <c r="I63" s="2" t="s">
        <v>36</v>
      </c>
      <c r="J63" s="4" t="n">
        <v>1706.41</v>
      </c>
      <c r="K63" s="2" t="n">
        <v>6</v>
      </c>
      <c r="L63" s="5" t="n">
        <v>0</v>
      </c>
      <c r="M63" s="6" t="n">
        <v>301.99</v>
      </c>
    </row>
    <row r="64" customFormat="false" ht="15" hidden="false" customHeight="false" outlineLevel="0" collapsed="false">
      <c r="A64" s="2" t="s">
        <v>126</v>
      </c>
      <c r="B64" s="3" t="n">
        <v>45781</v>
      </c>
      <c r="C64" s="3" t="n">
        <v>45787</v>
      </c>
      <c r="D64" s="2" t="s">
        <v>55</v>
      </c>
      <c r="E64" s="2" t="s">
        <v>26</v>
      </c>
      <c r="F64" s="2" t="s">
        <v>32</v>
      </c>
      <c r="G64" s="2" t="s">
        <v>39</v>
      </c>
      <c r="H64" s="2" t="s">
        <v>28</v>
      </c>
      <c r="I64" s="2" t="s">
        <v>36</v>
      </c>
      <c r="J64" s="4" t="n">
        <v>1010.5</v>
      </c>
      <c r="K64" s="2" t="n">
        <v>4</v>
      </c>
      <c r="L64" s="5" t="n">
        <v>0</v>
      </c>
      <c r="M64" s="6" t="n">
        <v>154.53</v>
      </c>
    </row>
    <row r="65" customFormat="false" ht="15" hidden="false" customHeight="false" outlineLevel="0" collapsed="false">
      <c r="A65" s="2" t="s">
        <v>127</v>
      </c>
      <c r="B65" s="3" t="n">
        <v>45782</v>
      </c>
      <c r="C65" s="3" t="n">
        <v>45787</v>
      </c>
      <c r="D65" s="2" t="s">
        <v>55</v>
      </c>
      <c r="E65" s="2" t="s">
        <v>26</v>
      </c>
      <c r="F65" s="2" t="s">
        <v>52</v>
      </c>
      <c r="G65" s="2" t="s">
        <v>61</v>
      </c>
      <c r="H65" s="2" t="s">
        <v>18</v>
      </c>
      <c r="I65" s="2" t="s">
        <v>58</v>
      </c>
      <c r="J65" s="4" t="n">
        <v>86.2</v>
      </c>
      <c r="K65" s="2" t="n">
        <v>4</v>
      </c>
      <c r="L65" s="5" t="n">
        <v>0.2</v>
      </c>
      <c r="M65" s="6" t="n">
        <v>10.65</v>
      </c>
    </row>
    <row r="66" customFormat="false" ht="15" hidden="false" customHeight="false" outlineLevel="0" collapsed="false">
      <c r="A66" s="2" t="s">
        <v>128</v>
      </c>
      <c r="B66" s="3" t="n">
        <v>45782</v>
      </c>
      <c r="C66" s="3" t="n">
        <v>45784</v>
      </c>
      <c r="D66" s="2" t="s">
        <v>101</v>
      </c>
      <c r="E66" s="2" t="s">
        <v>26</v>
      </c>
      <c r="F66" s="2" t="s">
        <v>16</v>
      </c>
      <c r="G66" s="2" t="s">
        <v>17</v>
      </c>
      <c r="H66" s="2" t="s">
        <v>28</v>
      </c>
      <c r="I66" s="2" t="s">
        <v>81</v>
      </c>
      <c r="J66" s="4" t="n">
        <v>3740.06</v>
      </c>
      <c r="K66" s="2" t="n">
        <v>9</v>
      </c>
      <c r="L66" s="5" t="n">
        <v>0</v>
      </c>
      <c r="M66" s="6" t="n">
        <v>3.45</v>
      </c>
    </row>
    <row r="67" customFormat="false" ht="15" hidden="false" customHeight="false" outlineLevel="0" collapsed="false">
      <c r="A67" s="2" t="s">
        <v>129</v>
      </c>
      <c r="B67" s="3" t="n">
        <v>45785</v>
      </c>
      <c r="C67" s="3" t="n">
        <v>45787</v>
      </c>
      <c r="D67" s="2" t="s">
        <v>91</v>
      </c>
      <c r="E67" s="2" t="s">
        <v>15</v>
      </c>
      <c r="F67" s="2" t="s">
        <v>41</v>
      </c>
      <c r="G67" s="2" t="s">
        <v>42</v>
      </c>
      <c r="H67" s="2" t="s">
        <v>22</v>
      </c>
      <c r="I67" s="2" t="s">
        <v>23</v>
      </c>
      <c r="J67" s="4" t="n">
        <v>451.29</v>
      </c>
      <c r="K67" s="2" t="n">
        <v>3</v>
      </c>
      <c r="L67" s="5" t="n">
        <v>0.15</v>
      </c>
      <c r="M67" s="6" t="n">
        <v>33.81</v>
      </c>
    </row>
    <row r="68" customFormat="false" ht="15" hidden="false" customHeight="false" outlineLevel="0" collapsed="false">
      <c r="A68" s="2" t="s">
        <v>130</v>
      </c>
      <c r="B68" s="3" t="n">
        <v>45785</v>
      </c>
      <c r="C68" s="3" t="n">
        <v>45788</v>
      </c>
      <c r="D68" s="2" t="s">
        <v>89</v>
      </c>
      <c r="E68" s="2" t="s">
        <v>48</v>
      </c>
      <c r="F68" s="2" t="s">
        <v>52</v>
      </c>
      <c r="G68" s="2" t="s">
        <v>53</v>
      </c>
      <c r="H68" s="2" t="s">
        <v>18</v>
      </c>
      <c r="I68" s="2" t="s">
        <v>66</v>
      </c>
      <c r="J68" s="4" t="n">
        <v>27.64</v>
      </c>
      <c r="K68" s="2" t="n">
        <v>3</v>
      </c>
      <c r="L68" s="5" t="n">
        <v>0</v>
      </c>
      <c r="M68" s="6" t="n">
        <v>10.91</v>
      </c>
    </row>
    <row r="69" customFormat="false" ht="15" hidden="false" customHeight="false" outlineLevel="0" collapsed="false">
      <c r="A69" s="2" t="s">
        <v>131</v>
      </c>
      <c r="B69" s="3" t="n">
        <v>45787</v>
      </c>
      <c r="C69" s="3" t="n">
        <v>45789</v>
      </c>
      <c r="D69" s="2" t="s">
        <v>31</v>
      </c>
      <c r="E69" s="2" t="s">
        <v>26</v>
      </c>
      <c r="F69" s="2" t="s">
        <v>52</v>
      </c>
      <c r="G69" s="2" t="s">
        <v>53</v>
      </c>
      <c r="H69" s="2" t="s">
        <v>22</v>
      </c>
      <c r="I69" s="2" t="s">
        <v>70</v>
      </c>
      <c r="J69" s="4" t="n">
        <v>303.35</v>
      </c>
      <c r="K69" s="2" t="n">
        <v>6</v>
      </c>
      <c r="L69" s="5" t="n">
        <v>0.1</v>
      </c>
      <c r="M69" s="6" t="n">
        <v>53.94</v>
      </c>
    </row>
    <row r="70" customFormat="false" ht="15" hidden="false" customHeight="false" outlineLevel="0" collapsed="false">
      <c r="A70" s="2" t="s">
        <v>132</v>
      </c>
      <c r="B70" s="3" t="n">
        <v>45793</v>
      </c>
      <c r="C70" s="3" t="n">
        <v>45798</v>
      </c>
      <c r="D70" s="2" t="s">
        <v>14</v>
      </c>
      <c r="E70" s="2" t="s">
        <v>15</v>
      </c>
      <c r="F70" s="2" t="s">
        <v>52</v>
      </c>
      <c r="G70" s="2" t="s">
        <v>53</v>
      </c>
      <c r="H70" s="2" t="s">
        <v>18</v>
      </c>
      <c r="I70" s="2" t="s">
        <v>66</v>
      </c>
      <c r="J70" s="4" t="n">
        <v>111.86</v>
      </c>
      <c r="K70" s="2" t="n">
        <v>7</v>
      </c>
      <c r="L70" s="5" t="n">
        <v>0</v>
      </c>
      <c r="M70" s="6" t="n">
        <v>37.8</v>
      </c>
    </row>
    <row r="71" customFormat="false" ht="15" hidden="false" customHeight="false" outlineLevel="0" collapsed="false">
      <c r="A71" s="2" t="s">
        <v>133</v>
      </c>
      <c r="B71" s="3" t="n">
        <v>45793</v>
      </c>
      <c r="C71" s="3" t="n">
        <v>45795</v>
      </c>
      <c r="D71" s="2" t="s">
        <v>74</v>
      </c>
      <c r="E71" s="2" t="s">
        <v>48</v>
      </c>
      <c r="F71" s="2" t="s">
        <v>16</v>
      </c>
      <c r="G71" s="2" t="s">
        <v>17</v>
      </c>
      <c r="H71" s="2" t="s">
        <v>18</v>
      </c>
      <c r="I71" s="2" t="s">
        <v>19</v>
      </c>
      <c r="J71" s="4" t="n">
        <v>117.88</v>
      </c>
      <c r="K71" s="2" t="n">
        <v>9</v>
      </c>
      <c r="L71" s="5" t="n">
        <v>0.2</v>
      </c>
      <c r="M71" s="6" t="n">
        <v>30.69</v>
      </c>
    </row>
    <row r="72" customFormat="false" ht="15" hidden="false" customHeight="false" outlineLevel="0" collapsed="false">
      <c r="A72" s="2" t="s">
        <v>134</v>
      </c>
      <c r="B72" s="3" t="n">
        <v>45799</v>
      </c>
      <c r="C72" s="3" t="n">
        <v>45802</v>
      </c>
      <c r="D72" s="2" t="s">
        <v>74</v>
      </c>
      <c r="E72" s="2" t="s">
        <v>15</v>
      </c>
      <c r="F72" s="2" t="s">
        <v>52</v>
      </c>
      <c r="G72" s="2" t="s">
        <v>61</v>
      </c>
      <c r="H72" s="2" t="s">
        <v>22</v>
      </c>
      <c r="I72" s="2" t="s">
        <v>43</v>
      </c>
      <c r="J72" s="4" t="n">
        <v>2875.36</v>
      </c>
      <c r="K72" s="2" t="n">
        <v>9</v>
      </c>
      <c r="L72" s="5" t="n">
        <v>0.2</v>
      </c>
      <c r="M72" s="6" t="n">
        <v>-213.16</v>
      </c>
    </row>
    <row r="73" customFormat="false" ht="15" hidden="false" customHeight="false" outlineLevel="0" collapsed="false">
      <c r="A73" s="2" t="s">
        <v>135</v>
      </c>
      <c r="B73" s="3" t="n">
        <v>45799</v>
      </c>
      <c r="C73" s="3" t="n">
        <v>45802</v>
      </c>
      <c r="D73" s="2" t="s">
        <v>69</v>
      </c>
      <c r="E73" s="2" t="s">
        <v>48</v>
      </c>
      <c r="F73" s="2" t="s">
        <v>41</v>
      </c>
      <c r="G73" s="2" t="s">
        <v>79</v>
      </c>
      <c r="H73" s="2" t="s">
        <v>28</v>
      </c>
      <c r="I73" s="2" t="s">
        <v>29</v>
      </c>
      <c r="J73" s="4" t="n">
        <v>148.8</v>
      </c>
      <c r="K73" s="2" t="n">
        <v>4</v>
      </c>
      <c r="L73" s="5" t="n">
        <v>0</v>
      </c>
      <c r="M73" s="6" t="n">
        <v>41.5</v>
      </c>
    </row>
    <row r="74" customFormat="false" ht="15" hidden="false" customHeight="false" outlineLevel="0" collapsed="false">
      <c r="A74" s="2" t="s">
        <v>136</v>
      </c>
      <c r="B74" s="3" t="n">
        <v>45800</v>
      </c>
      <c r="C74" s="3" t="n">
        <v>45803</v>
      </c>
      <c r="D74" s="2" t="s">
        <v>45</v>
      </c>
      <c r="E74" s="2" t="s">
        <v>15</v>
      </c>
      <c r="F74" s="2" t="s">
        <v>32</v>
      </c>
      <c r="G74" s="2" t="s">
        <v>35</v>
      </c>
      <c r="H74" s="2" t="s">
        <v>18</v>
      </c>
      <c r="I74" s="2" t="s">
        <v>56</v>
      </c>
      <c r="J74" s="4" t="n">
        <v>67.71</v>
      </c>
      <c r="K74" s="2" t="n">
        <v>1</v>
      </c>
      <c r="L74" s="5" t="n">
        <v>0</v>
      </c>
      <c r="M74" s="6" t="n">
        <v>13.53</v>
      </c>
    </row>
    <row r="75" customFormat="false" ht="15" hidden="false" customHeight="false" outlineLevel="0" collapsed="false">
      <c r="A75" s="2" t="s">
        <v>137</v>
      </c>
      <c r="B75" s="3" t="n">
        <v>45800</v>
      </c>
      <c r="C75" s="3" t="n">
        <v>45805</v>
      </c>
      <c r="D75" s="2" t="s">
        <v>84</v>
      </c>
      <c r="E75" s="2" t="s">
        <v>15</v>
      </c>
      <c r="F75" s="2" t="s">
        <v>41</v>
      </c>
      <c r="G75" s="2" t="s">
        <v>42</v>
      </c>
      <c r="H75" s="2" t="s">
        <v>28</v>
      </c>
      <c r="I75" s="2" t="s">
        <v>36</v>
      </c>
      <c r="J75" s="4" t="n">
        <v>971.89</v>
      </c>
      <c r="K75" s="2" t="n">
        <v>5</v>
      </c>
      <c r="L75" s="5" t="n">
        <v>0</v>
      </c>
      <c r="M75" s="6" t="n">
        <v>187.65</v>
      </c>
    </row>
    <row r="76" customFormat="false" ht="15" hidden="false" customHeight="false" outlineLevel="0" collapsed="false">
      <c r="A76" s="2" t="s">
        <v>138</v>
      </c>
      <c r="B76" s="3" t="n">
        <v>45802</v>
      </c>
      <c r="C76" s="3" t="n">
        <v>45809</v>
      </c>
      <c r="D76" s="2" t="s">
        <v>14</v>
      </c>
      <c r="E76" s="2" t="s">
        <v>48</v>
      </c>
      <c r="F76" s="2" t="s">
        <v>41</v>
      </c>
      <c r="G76" s="2" t="s">
        <v>42</v>
      </c>
      <c r="H76" s="2" t="s">
        <v>22</v>
      </c>
      <c r="I76" s="2" t="s">
        <v>43</v>
      </c>
      <c r="J76" s="4" t="n">
        <v>1378.73</v>
      </c>
      <c r="K76" s="2" t="n">
        <v>7</v>
      </c>
      <c r="L76" s="5" t="n">
        <v>0.3</v>
      </c>
      <c r="M76" s="6" t="n">
        <v>-81.66</v>
      </c>
    </row>
    <row r="77" customFormat="false" ht="15" hidden="false" customHeight="false" outlineLevel="0" collapsed="false">
      <c r="A77" s="2" t="s">
        <v>139</v>
      </c>
      <c r="B77" s="3" t="n">
        <v>45803</v>
      </c>
      <c r="C77" s="3" t="n">
        <v>45806</v>
      </c>
      <c r="D77" s="2" t="s">
        <v>109</v>
      </c>
      <c r="E77" s="2" t="s">
        <v>48</v>
      </c>
      <c r="F77" s="2" t="s">
        <v>32</v>
      </c>
      <c r="G77" s="2" t="s">
        <v>39</v>
      </c>
      <c r="H77" s="2" t="s">
        <v>22</v>
      </c>
      <c r="I77" s="2" t="s">
        <v>43</v>
      </c>
      <c r="J77" s="4" t="n">
        <v>1217.95</v>
      </c>
      <c r="K77" s="2" t="n">
        <v>3</v>
      </c>
      <c r="L77" s="5" t="n">
        <v>0</v>
      </c>
      <c r="M77" s="6" t="n">
        <v>-26.88</v>
      </c>
    </row>
    <row r="78" customFormat="false" ht="15" hidden="false" customHeight="false" outlineLevel="0" collapsed="false">
      <c r="A78" s="2" t="s">
        <v>140</v>
      </c>
      <c r="B78" s="3" t="n">
        <v>45803</v>
      </c>
      <c r="C78" s="3" t="n">
        <v>45809</v>
      </c>
      <c r="D78" s="2" t="s">
        <v>89</v>
      </c>
      <c r="E78" s="2" t="s">
        <v>26</v>
      </c>
      <c r="F78" s="2" t="s">
        <v>41</v>
      </c>
      <c r="G78" s="2" t="s">
        <v>49</v>
      </c>
      <c r="H78" s="2" t="s">
        <v>18</v>
      </c>
      <c r="I78" s="2" t="s">
        <v>66</v>
      </c>
      <c r="J78" s="4" t="n">
        <v>77.96</v>
      </c>
      <c r="K78" s="2" t="n">
        <v>9</v>
      </c>
      <c r="L78" s="5" t="n">
        <v>0.3</v>
      </c>
      <c r="M78" s="6" t="n">
        <v>29.13</v>
      </c>
    </row>
    <row r="79" customFormat="false" ht="15" hidden="false" customHeight="false" outlineLevel="0" collapsed="false">
      <c r="A79" s="2" t="s">
        <v>141</v>
      </c>
      <c r="B79" s="3" t="n">
        <v>45803</v>
      </c>
      <c r="C79" s="3" t="n">
        <v>45805</v>
      </c>
      <c r="D79" s="2" t="s">
        <v>21</v>
      </c>
      <c r="E79" s="2" t="s">
        <v>15</v>
      </c>
      <c r="F79" s="2" t="s">
        <v>41</v>
      </c>
      <c r="G79" s="2" t="s">
        <v>79</v>
      </c>
      <c r="H79" s="2" t="s">
        <v>28</v>
      </c>
      <c r="I79" s="2" t="s">
        <v>81</v>
      </c>
      <c r="J79" s="4" t="n">
        <v>2285.17</v>
      </c>
      <c r="K79" s="2" t="n">
        <v>6</v>
      </c>
      <c r="L79" s="5" t="n">
        <v>0</v>
      </c>
      <c r="M79" s="6" t="n">
        <v>139.72</v>
      </c>
    </row>
    <row r="80" customFormat="false" ht="15" hidden="false" customHeight="false" outlineLevel="0" collapsed="false">
      <c r="A80" s="2" t="s">
        <v>142</v>
      </c>
      <c r="B80" s="3" t="n">
        <v>45803</v>
      </c>
      <c r="C80" s="3" t="n">
        <v>45808</v>
      </c>
      <c r="D80" s="2" t="s">
        <v>91</v>
      </c>
      <c r="E80" s="2" t="s">
        <v>48</v>
      </c>
      <c r="F80" s="2" t="s">
        <v>32</v>
      </c>
      <c r="G80" s="2" t="s">
        <v>33</v>
      </c>
      <c r="H80" s="2" t="s">
        <v>22</v>
      </c>
      <c r="I80" s="2" t="s">
        <v>23</v>
      </c>
      <c r="J80" s="4" t="n">
        <v>1207.33</v>
      </c>
      <c r="K80" s="2" t="n">
        <v>5</v>
      </c>
      <c r="L80" s="5" t="n">
        <v>0</v>
      </c>
      <c r="M80" s="6" t="n">
        <v>87.95</v>
      </c>
    </row>
    <row r="81" customFormat="false" ht="15" hidden="false" customHeight="false" outlineLevel="0" collapsed="false">
      <c r="A81" s="2" t="s">
        <v>143</v>
      </c>
      <c r="B81" s="3" t="n">
        <v>45805</v>
      </c>
      <c r="C81" s="3" t="n">
        <v>45807</v>
      </c>
      <c r="D81" s="2" t="s">
        <v>91</v>
      </c>
      <c r="E81" s="2" t="s">
        <v>15</v>
      </c>
      <c r="F81" s="2" t="s">
        <v>32</v>
      </c>
      <c r="G81" s="2" t="s">
        <v>33</v>
      </c>
      <c r="H81" s="2" t="s">
        <v>28</v>
      </c>
      <c r="I81" s="2" t="s">
        <v>29</v>
      </c>
      <c r="J81" s="4" t="n">
        <v>295.02</v>
      </c>
      <c r="K81" s="2" t="n">
        <v>8</v>
      </c>
      <c r="L81" s="5" t="n">
        <v>0</v>
      </c>
      <c r="M81" s="6" t="n">
        <v>75.54</v>
      </c>
    </row>
    <row r="82" customFormat="false" ht="15" hidden="false" customHeight="false" outlineLevel="0" collapsed="false">
      <c r="A82" s="2" t="s">
        <v>144</v>
      </c>
      <c r="B82" s="3" t="n">
        <v>45806</v>
      </c>
      <c r="C82" s="3" t="n">
        <v>45808</v>
      </c>
      <c r="D82" s="2" t="s">
        <v>84</v>
      </c>
      <c r="E82" s="2" t="s">
        <v>26</v>
      </c>
      <c r="F82" s="2" t="s">
        <v>16</v>
      </c>
      <c r="G82" s="2" t="s">
        <v>27</v>
      </c>
      <c r="H82" s="2" t="s">
        <v>28</v>
      </c>
      <c r="I82" s="2" t="s">
        <v>81</v>
      </c>
      <c r="J82" s="4" t="n">
        <v>1854.97</v>
      </c>
      <c r="K82" s="2" t="n">
        <v>6</v>
      </c>
      <c r="L82" s="5" t="n">
        <v>0.2</v>
      </c>
      <c r="M82" s="6" t="n">
        <v>-5.65</v>
      </c>
    </row>
    <row r="83" customFormat="false" ht="15" hidden="false" customHeight="false" outlineLevel="0" collapsed="false">
      <c r="A83" s="2" t="s">
        <v>145</v>
      </c>
      <c r="B83" s="3" t="n">
        <v>45806</v>
      </c>
      <c r="C83" s="3" t="n">
        <v>45810</v>
      </c>
      <c r="D83" s="2" t="s">
        <v>74</v>
      </c>
      <c r="E83" s="2" t="s">
        <v>26</v>
      </c>
      <c r="F83" s="2" t="s">
        <v>32</v>
      </c>
      <c r="G83" s="2" t="s">
        <v>33</v>
      </c>
      <c r="H83" s="2" t="s">
        <v>22</v>
      </c>
      <c r="I83" s="2" t="s">
        <v>50</v>
      </c>
      <c r="J83" s="4" t="n">
        <v>762.57</v>
      </c>
      <c r="K83" s="2" t="n">
        <v>5</v>
      </c>
      <c r="L83" s="5" t="n">
        <v>0.3</v>
      </c>
      <c r="M83" s="6" t="n">
        <v>86.72</v>
      </c>
    </row>
    <row r="84" customFormat="false" ht="15" hidden="false" customHeight="false" outlineLevel="0" collapsed="false">
      <c r="A84" s="2" t="s">
        <v>146</v>
      </c>
      <c r="B84" s="3" t="n">
        <v>45806</v>
      </c>
      <c r="C84" s="3" t="n">
        <v>45808</v>
      </c>
      <c r="D84" s="2" t="s">
        <v>25</v>
      </c>
      <c r="E84" s="2" t="s">
        <v>26</v>
      </c>
      <c r="F84" s="2" t="s">
        <v>52</v>
      </c>
      <c r="G84" s="2" t="s">
        <v>106</v>
      </c>
      <c r="H84" s="2" t="s">
        <v>18</v>
      </c>
      <c r="I84" s="2" t="s">
        <v>19</v>
      </c>
      <c r="J84" s="4" t="n">
        <v>101.26</v>
      </c>
      <c r="K84" s="2" t="n">
        <v>6</v>
      </c>
      <c r="L84" s="5" t="n">
        <v>0.15</v>
      </c>
      <c r="M84" s="6" t="n">
        <v>29.41</v>
      </c>
    </row>
    <row r="85" customFormat="false" ht="15" hidden="false" customHeight="false" outlineLevel="0" collapsed="false">
      <c r="A85" s="2" t="s">
        <v>147</v>
      </c>
      <c r="B85" s="3" t="n">
        <v>45807</v>
      </c>
      <c r="C85" s="3" t="n">
        <v>45809</v>
      </c>
      <c r="D85" s="2" t="s">
        <v>84</v>
      </c>
      <c r="E85" s="2" t="s">
        <v>15</v>
      </c>
      <c r="F85" s="2" t="s">
        <v>52</v>
      </c>
      <c r="G85" s="2" t="s">
        <v>53</v>
      </c>
      <c r="H85" s="2" t="s">
        <v>28</v>
      </c>
      <c r="I85" s="2" t="s">
        <v>29</v>
      </c>
      <c r="J85" s="4" t="n">
        <v>75.8</v>
      </c>
      <c r="K85" s="2" t="n">
        <v>3</v>
      </c>
      <c r="L85" s="5" t="n">
        <v>0.1</v>
      </c>
      <c r="M85" s="6" t="n">
        <v>20.39</v>
      </c>
    </row>
    <row r="86" customFormat="false" ht="15" hidden="false" customHeight="false" outlineLevel="0" collapsed="false">
      <c r="A86" s="2" t="s">
        <v>148</v>
      </c>
      <c r="B86" s="3" t="n">
        <v>45809</v>
      </c>
      <c r="C86" s="3" t="n">
        <v>45812</v>
      </c>
      <c r="D86" s="2" t="s">
        <v>45</v>
      </c>
      <c r="E86" s="2" t="s">
        <v>15</v>
      </c>
      <c r="F86" s="2" t="s">
        <v>52</v>
      </c>
      <c r="G86" s="2" t="s">
        <v>61</v>
      </c>
      <c r="H86" s="2" t="s">
        <v>22</v>
      </c>
      <c r="I86" s="2" t="s">
        <v>50</v>
      </c>
      <c r="J86" s="4" t="n">
        <v>290.23</v>
      </c>
      <c r="K86" s="2" t="n">
        <v>3</v>
      </c>
      <c r="L86" s="5" t="n">
        <v>0.15</v>
      </c>
      <c r="M86" s="6" t="n">
        <v>56.15</v>
      </c>
    </row>
    <row r="87" customFormat="false" ht="15" hidden="false" customHeight="false" outlineLevel="0" collapsed="false">
      <c r="A87" s="2" t="s">
        <v>149</v>
      </c>
      <c r="B87" s="3" t="n">
        <v>45810</v>
      </c>
      <c r="C87" s="3" t="n">
        <v>45816</v>
      </c>
      <c r="D87" s="2" t="s">
        <v>55</v>
      </c>
      <c r="E87" s="2" t="s">
        <v>15</v>
      </c>
      <c r="F87" s="2" t="s">
        <v>52</v>
      </c>
      <c r="G87" s="2" t="s">
        <v>53</v>
      </c>
      <c r="H87" s="2" t="s">
        <v>28</v>
      </c>
      <c r="I87" s="2" t="s">
        <v>36</v>
      </c>
      <c r="J87" s="4" t="n">
        <v>939.7</v>
      </c>
      <c r="K87" s="2" t="n">
        <v>4</v>
      </c>
      <c r="L87" s="5" t="n">
        <v>0.1</v>
      </c>
      <c r="M87" s="6" t="n">
        <v>145.7</v>
      </c>
    </row>
    <row r="88" customFormat="false" ht="15" hidden="false" customHeight="false" outlineLevel="0" collapsed="false">
      <c r="A88" s="2" t="s">
        <v>150</v>
      </c>
      <c r="B88" s="3" t="n">
        <v>45816</v>
      </c>
      <c r="C88" s="3" t="n">
        <v>45821</v>
      </c>
      <c r="D88" s="2" t="s">
        <v>109</v>
      </c>
      <c r="E88" s="2" t="s">
        <v>26</v>
      </c>
      <c r="F88" s="2" t="s">
        <v>41</v>
      </c>
      <c r="G88" s="2" t="s">
        <v>49</v>
      </c>
      <c r="H88" s="2" t="s">
        <v>18</v>
      </c>
      <c r="I88" s="2" t="s">
        <v>58</v>
      </c>
      <c r="J88" s="4" t="n">
        <v>133.6</v>
      </c>
      <c r="K88" s="2" t="n">
        <v>5</v>
      </c>
      <c r="L88" s="5" t="n">
        <v>0.15</v>
      </c>
      <c r="M88" s="6" t="n">
        <v>4.76</v>
      </c>
    </row>
    <row r="89" customFormat="false" ht="15" hidden="false" customHeight="false" outlineLevel="0" collapsed="false">
      <c r="A89" s="2" t="s">
        <v>151</v>
      </c>
      <c r="B89" s="3" t="n">
        <v>45819</v>
      </c>
      <c r="C89" s="3" t="n">
        <v>45823</v>
      </c>
      <c r="D89" s="2" t="s">
        <v>101</v>
      </c>
      <c r="E89" s="2" t="s">
        <v>15</v>
      </c>
      <c r="F89" s="2" t="s">
        <v>41</v>
      </c>
      <c r="G89" s="2" t="s">
        <v>42</v>
      </c>
      <c r="H89" s="2" t="s">
        <v>18</v>
      </c>
      <c r="I89" s="2" t="s">
        <v>19</v>
      </c>
      <c r="J89" s="4" t="n">
        <v>52.99</v>
      </c>
      <c r="K89" s="2" t="n">
        <v>5</v>
      </c>
      <c r="L89" s="5" t="n">
        <v>0.3</v>
      </c>
      <c r="M89" s="6" t="n">
        <v>14.3</v>
      </c>
    </row>
    <row r="90" customFormat="false" ht="15" hidden="false" customHeight="false" outlineLevel="0" collapsed="false">
      <c r="A90" s="2" t="s">
        <v>152</v>
      </c>
      <c r="B90" s="3" t="n">
        <v>45821</v>
      </c>
      <c r="C90" s="3" t="n">
        <v>45824</v>
      </c>
      <c r="D90" s="2" t="s">
        <v>109</v>
      </c>
      <c r="E90" s="2" t="s">
        <v>26</v>
      </c>
      <c r="F90" s="2" t="s">
        <v>41</v>
      </c>
      <c r="G90" s="2" t="s">
        <v>79</v>
      </c>
      <c r="H90" s="2" t="s">
        <v>28</v>
      </c>
      <c r="I90" s="2" t="s">
        <v>81</v>
      </c>
      <c r="J90" s="4" t="n">
        <v>1939.26</v>
      </c>
      <c r="K90" s="2" t="n">
        <v>7</v>
      </c>
      <c r="L90" s="5" t="n">
        <v>0</v>
      </c>
      <c r="M90" s="6" t="n">
        <v>80.48</v>
      </c>
    </row>
    <row r="91" customFormat="false" ht="15" hidden="false" customHeight="false" outlineLevel="0" collapsed="false">
      <c r="A91" s="2" t="s">
        <v>153</v>
      </c>
      <c r="B91" s="3" t="n">
        <v>45821</v>
      </c>
      <c r="C91" s="3" t="n">
        <v>45824</v>
      </c>
      <c r="D91" s="2" t="s">
        <v>76</v>
      </c>
      <c r="E91" s="2" t="s">
        <v>15</v>
      </c>
      <c r="F91" s="2" t="s">
        <v>52</v>
      </c>
      <c r="G91" s="2" t="s">
        <v>106</v>
      </c>
      <c r="H91" s="2" t="s">
        <v>18</v>
      </c>
      <c r="I91" s="2" t="s">
        <v>56</v>
      </c>
      <c r="J91" s="4" t="n">
        <v>314.51</v>
      </c>
      <c r="K91" s="2" t="n">
        <v>6</v>
      </c>
      <c r="L91" s="5" t="n">
        <v>0.1</v>
      </c>
      <c r="M91" s="6" t="n">
        <v>55.54</v>
      </c>
    </row>
    <row r="92" customFormat="false" ht="15" hidden="false" customHeight="false" outlineLevel="0" collapsed="false">
      <c r="A92" s="2" t="s">
        <v>154</v>
      </c>
      <c r="B92" s="3" t="n">
        <v>45824</v>
      </c>
      <c r="C92" s="3" t="n">
        <v>45830</v>
      </c>
      <c r="D92" s="2" t="s">
        <v>47</v>
      </c>
      <c r="E92" s="2" t="s">
        <v>26</v>
      </c>
      <c r="F92" s="2" t="s">
        <v>32</v>
      </c>
      <c r="G92" s="2" t="s">
        <v>35</v>
      </c>
      <c r="H92" s="2" t="s">
        <v>28</v>
      </c>
      <c r="I92" s="2" t="s">
        <v>29</v>
      </c>
      <c r="J92" s="4" t="n">
        <v>278.29</v>
      </c>
      <c r="K92" s="2" t="n">
        <v>7</v>
      </c>
      <c r="L92" s="5" t="n">
        <v>0</v>
      </c>
      <c r="M92" s="6" t="n">
        <v>60.04</v>
      </c>
    </row>
    <row r="93" customFormat="false" ht="15" hidden="false" customHeight="false" outlineLevel="0" collapsed="false">
      <c r="A93" s="2" t="s">
        <v>155</v>
      </c>
      <c r="B93" s="3" t="n">
        <v>45828</v>
      </c>
      <c r="C93" s="3" t="n">
        <v>45830</v>
      </c>
      <c r="D93" s="2" t="s">
        <v>69</v>
      </c>
      <c r="E93" s="2" t="s">
        <v>15</v>
      </c>
      <c r="F93" s="2" t="s">
        <v>16</v>
      </c>
      <c r="G93" s="2" t="s">
        <v>27</v>
      </c>
      <c r="H93" s="2" t="s">
        <v>18</v>
      </c>
      <c r="I93" s="2" t="s">
        <v>56</v>
      </c>
      <c r="J93" s="4" t="n">
        <v>265.45</v>
      </c>
      <c r="K93" s="2" t="n">
        <v>5</v>
      </c>
      <c r="L93" s="5" t="n">
        <v>0.2</v>
      </c>
      <c r="M93" s="6" t="n">
        <v>60.11</v>
      </c>
    </row>
    <row r="94" customFormat="false" ht="15" hidden="false" customHeight="false" outlineLevel="0" collapsed="false">
      <c r="A94" s="2" t="s">
        <v>156</v>
      </c>
      <c r="B94" s="3" t="n">
        <v>45831</v>
      </c>
      <c r="C94" s="3" t="n">
        <v>45837</v>
      </c>
      <c r="D94" s="2" t="s">
        <v>25</v>
      </c>
      <c r="E94" s="2" t="s">
        <v>48</v>
      </c>
      <c r="F94" s="2" t="s">
        <v>32</v>
      </c>
      <c r="G94" s="2" t="s">
        <v>35</v>
      </c>
      <c r="H94" s="2" t="s">
        <v>28</v>
      </c>
      <c r="I94" s="2" t="s">
        <v>29</v>
      </c>
      <c r="J94" s="4" t="n">
        <v>366.7</v>
      </c>
      <c r="K94" s="2" t="n">
        <v>7</v>
      </c>
      <c r="L94" s="5" t="n">
        <v>0</v>
      </c>
      <c r="M94" s="6" t="n">
        <v>76.08</v>
      </c>
    </row>
    <row r="95" customFormat="false" ht="15" hidden="false" customHeight="false" outlineLevel="0" collapsed="false">
      <c r="A95" s="2" t="s">
        <v>157</v>
      </c>
      <c r="B95" s="3" t="n">
        <v>45835</v>
      </c>
      <c r="C95" s="3" t="n">
        <v>45841</v>
      </c>
      <c r="D95" s="2" t="s">
        <v>14</v>
      </c>
      <c r="E95" s="2" t="s">
        <v>26</v>
      </c>
      <c r="F95" s="2" t="s">
        <v>16</v>
      </c>
      <c r="G95" s="2" t="s">
        <v>27</v>
      </c>
      <c r="H95" s="2" t="s">
        <v>28</v>
      </c>
      <c r="I95" s="2" t="s">
        <v>29</v>
      </c>
      <c r="J95" s="4" t="n">
        <v>163.05</v>
      </c>
      <c r="K95" s="2" t="n">
        <v>5</v>
      </c>
      <c r="L95" s="5" t="n">
        <v>0</v>
      </c>
      <c r="M95" s="6" t="n">
        <v>47.85</v>
      </c>
    </row>
    <row r="96" customFormat="false" ht="15" hidden="false" customHeight="false" outlineLevel="0" collapsed="false">
      <c r="A96" s="2" t="s">
        <v>158</v>
      </c>
      <c r="B96" s="3" t="n">
        <v>45835</v>
      </c>
      <c r="C96" s="3" t="n">
        <v>45838</v>
      </c>
      <c r="D96" s="2" t="s">
        <v>60</v>
      </c>
      <c r="E96" s="2" t="s">
        <v>26</v>
      </c>
      <c r="F96" s="2" t="s">
        <v>52</v>
      </c>
      <c r="G96" s="2" t="s">
        <v>53</v>
      </c>
      <c r="H96" s="2" t="s">
        <v>28</v>
      </c>
      <c r="I96" s="2" t="s">
        <v>36</v>
      </c>
      <c r="J96" s="4" t="n">
        <v>1103.45</v>
      </c>
      <c r="K96" s="2" t="n">
        <v>7</v>
      </c>
      <c r="L96" s="5" t="n">
        <v>0.3</v>
      </c>
      <c r="M96" s="6" t="n">
        <v>146.72</v>
      </c>
    </row>
    <row r="97" customFormat="false" ht="15" hidden="false" customHeight="false" outlineLevel="0" collapsed="false">
      <c r="A97" s="2" t="s">
        <v>159</v>
      </c>
      <c r="B97" s="3" t="n">
        <v>45837</v>
      </c>
      <c r="C97" s="3" t="n">
        <v>45842</v>
      </c>
      <c r="D97" s="2" t="s">
        <v>38</v>
      </c>
      <c r="E97" s="2" t="s">
        <v>48</v>
      </c>
      <c r="F97" s="2" t="s">
        <v>52</v>
      </c>
      <c r="G97" s="2" t="s">
        <v>106</v>
      </c>
      <c r="H97" s="2" t="s">
        <v>18</v>
      </c>
      <c r="I97" s="2" t="s">
        <v>56</v>
      </c>
      <c r="J97" s="4" t="n">
        <v>222.67</v>
      </c>
      <c r="K97" s="2" t="n">
        <v>5</v>
      </c>
      <c r="L97" s="5" t="n">
        <v>0.2</v>
      </c>
      <c r="M97" s="6" t="n">
        <v>38.44</v>
      </c>
    </row>
    <row r="98" customFormat="false" ht="15" hidden="false" customHeight="false" outlineLevel="0" collapsed="false">
      <c r="A98" s="2" t="s">
        <v>160</v>
      </c>
      <c r="B98" s="3" t="n">
        <v>45838</v>
      </c>
      <c r="C98" s="3" t="n">
        <v>45845</v>
      </c>
      <c r="D98" s="2" t="s">
        <v>109</v>
      </c>
      <c r="E98" s="2" t="s">
        <v>15</v>
      </c>
      <c r="F98" s="2" t="s">
        <v>32</v>
      </c>
      <c r="G98" s="2" t="s">
        <v>33</v>
      </c>
      <c r="H98" s="2" t="s">
        <v>28</v>
      </c>
      <c r="I98" s="2" t="s">
        <v>81</v>
      </c>
      <c r="J98" s="4" t="n">
        <v>3044.81</v>
      </c>
      <c r="K98" s="2" t="n">
        <v>8</v>
      </c>
      <c r="L98" s="5" t="n">
        <v>0</v>
      </c>
      <c r="M98" s="6" t="n">
        <v>99.11</v>
      </c>
    </row>
    <row r="99" customFormat="false" ht="15" hidden="false" customHeight="false" outlineLevel="0" collapsed="false">
      <c r="A99" s="2" t="s">
        <v>161</v>
      </c>
      <c r="B99" s="3" t="n">
        <v>45841</v>
      </c>
      <c r="C99" s="3" t="n">
        <v>45844</v>
      </c>
      <c r="D99" s="2" t="s">
        <v>84</v>
      </c>
      <c r="E99" s="2" t="s">
        <v>48</v>
      </c>
      <c r="F99" s="2" t="s">
        <v>41</v>
      </c>
      <c r="G99" s="2" t="s">
        <v>49</v>
      </c>
      <c r="H99" s="2" t="s">
        <v>22</v>
      </c>
      <c r="I99" s="2" t="s">
        <v>23</v>
      </c>
      <c r="J99" s="4" t="n">
        <v>735.55</v>
      </c>
      <c r="K99" s="2" t="n">
        <v>5</v>
      </c>
      <c r="L99" s="5" t="n">
        <v>0.3</v>
      </c>
      <c r="M99" s="6" t="n">
        <v>56.8</v>
      </c>
    </row>
    <row r="100" customFormat="false" ht="15" hidden="false" customHeight="false" outlineLevel="0" collapsed="false">
      <c r="A100" s="2" t="s">
        <v>162</v>
      </c>
      <c r="B100" s="3" t="n">
        <v>45842</v>
      </c>
      <c r="C100" s="3" t="n">
        <v>45845</v>
      </c>
      <c r="D100" s="2" t="s">
        <v>14</v>
      </c>
      <c r="E100" s="2" t="s">
        <v>26</v>
      </c>
      <c r="F100" s="2" t="s">
        <v>16</v>
      </c>
      <c r="G100" s="2" t="s">
        <v>17</v>
      </c>
      <c r="H100" s="2" t="s">
        <v>28</v>
      </c>
      <c r="I100" s="2" t="s">
        <v>36</v>
      </c>
      <c r="J100" s="4" t="n">
        <v>1018.97</v>
      </c>
      <c r="K100" s="2" t="n">
        <v>5</v>
      </c>
      <c r="L100" s="5" t="n">
        <v>0.3</v>
      </c>
      <c r="M100" s="6" t="n">
        <v>131.87</v>
      </c>
    </row>
    <row r="101" customFormat="false" ht="15" hidden="false" customHeight="false" outlineLevel="0" collapsed="false">
      <c r="A101" s="2" t="s">
        <v>163</v>
      </c>
      <c r="B101" s="3" t="n">
        <v>45843</v>
      </c>
      <c r="C101" s="3" t="n">
        <v>45849</v>
      </c>
      <c r="D101" s="2" t="s">
        <v>74</v>
      </c>
      <c r="E101" s="2" t="s">
        <v>15</v>
      </c>
      <c r="F101" s="2" t="s">
        <v>52</v>
      </c>
      <c r="G101" s="2" t="s">
        <v>53</v>
      </c>
      <c r="H101" s="2" t="s">
        <v>22</v>
      </c>
      <c r="I101" s="2" t="s">
        <v>50</v>
      </c>
      <c r="J101" s="4" t="n">
        <v>957.16</v>
      </c>
      <c r="K101" s="2" t="n">
        <v>7</v>
      </c>
      <c r="L101" s="5" t="n">
        <v>0.2</v>
      </c>
      <c r="M101" s="6" t="n">
        <v>101.8</v>
      </c>
    </row>
    <row r="102" customFormat="false" ht="15" hidden="false" customHeight="false" outlineLevel="0" collapsed="false">
      <c r="A102" s="2" t="s">
        <v>164</v>
      </c>
      <c r="B102" s="3" t="n">
        <v>45845</v>
      </c>
      <c r="C102" s="3" t="n">
        <v>45847</v>
      </c>
      <c r="D102" s="2" t="s">
        <v>25</v>
      </c>
      <c r="E102" s="2" t="s">
        <v>26</v>
      </c>
      <c r="F102" s="2" t="s">
        <v>52</v>
      </c>
      <c r="G102" s="2" t="s">
        <v>53</v>
      </c>
      <c r="H102" s="2" t="s">
        <v>22</v>
      </c>
      <c r="I102" s="2" t="s">
        <v>23</v>
      </c>
      <c r="J102" s="4" t="n">
        <v>1222.38</v>
      </c>
      <c r="K102" s="2" t="n">
        <v>7</v>
      </c>
      <c r="L102" s="5" t="n">
        <v>0</v>
      </c>
      <c r="M102" s="6" t="n">
        <v>64.48</v>
      </c>
    </row>
    <row r="103" customFormat="false" ht="15" hidden="false" customHeight="false" outlineLevel="0" collapsed="false">
      <c r="A103" s="2" t="s">
        <v>165</v>
      </c>
      <c r="B103" s="3" t="n">
        <v>45847</v>
      </c>
      <c r="C103" s="3" t="n">
        <v>45853</v>
      </c>
      <c r="D103" s="2" t="s">
        <v>91</v>
      </c>
      <c r="E103" s="2" t="s">
        <v>26</v>
      </c>
      <c r="F103" s="2" t="s">
        <v>41</v>
      </c>
      <c r="G103" s="2" t="s">
        <v>79</v>
      </c>
      <c r="H103" s="2" t="s">
        <v>18</v>
      </c>
      <c r="I103" s="2" t="s">
        <v>19</v>
      </c>
      <c r="J103" s="4" t="n">
        <v>21.68</v>
      </c>
      <c r="K103" s="2" t="n">
        <v>2</v>
      </c>
      <c r="L103" s="5" t="n">
        <v>0.2</v>
      </c>
      <c r="M103" s="6" t="n">
        <v>7.38</v>
      </c>
    </row>
    <row r="104" customFormat="false" ht="15" hidden="false" customHeight="false" outlineLevel="0" collapsed="false">
      <c r="A104" s="2" t="s">
        <v>166</v>
      </c>
      <c r="B104" s="3" t="n">
        <v>45847</v>
      </c>
      <c r="C104" s="3" t="n">
        <v>45851</v>
      </c>
      <c r="D104" s="2" t="s">
        <v>109</v>
      </c>
      <c r="E104" s="2" t="s">
        <v>26</v>
      </c>
      <c r="F104" s="2" t="s">
        <v>52</v>
      </c>
      <c r="G104" s="2" t="s">
        <v>53</v>
      </c>
      <c r="H104" s="2" t="s">
        <v>18</v>
      </c>
      <c r="I104" s="2" t="s">
        <v>56</v>
      </c>
      <c r="J104" s="4" t="n">
        <v>525.38</v>
      </c>
      <c r="K104" s="2" t="n">
        <v>7</v>
      </c>
      <c r="L104" s="5" t="n">
        <v>0</v>
      </c>
      <c r="M104" s="6" t="n">
        <v>100.09</v>
      </c>
    </row>
    <row r="105" customFormat="false" ht="15" hidden="false" customHeight="false" outlineLevel="0" collapsed="false">
      <c r="A105" s="2" t="s">
        <v>167</v>
      </c>
      <c r="B105" s="3" t="n">
        <v>45850</v>
      </c>
      <c r="C105" s="3" t="n">
        <v>45852</v>
      </c>
      <c r="D105" s="2" t="s">
        <v>91</v>
      </c>
      <c r="E105" s="2" t="s">
        <v>26</v>
      </c>
      <c r="F105" s="2" t="s">
        <v>52</v>
      </c>
      <c r="G105" s="2" t="s">
        <v>53</v>
      </c>
      <c r="H105" s="2" t="s">
        <v>22</v>
      </c>
      <c r="I105" s="2" t="s">
        <v>50</v>
      </c>
      <c r="J105" s="4" t="n">
        <v>969.82</v>
      </c>
      <c r="K105" s="2" t="n">
        <v>7</v>
      </c>
      <c r="L105" s="5" t="n">
        <v>0.1</v>
      </c>
      <c r="M105" s="6" t="n">
        <v>140.48</v>
      </c>
    </row>
    <row r="106" customFormat="false" ht="15" hidden="false" customHeight="false" outlineLevel="0" collapsed="false">
      <c r="A106" s="2" t="s">
        <v>168</v>
      </c>
      <c r="B106" s="3" t="n">
        <v>45852</v>
      </c>
      <c r="C106" s="3" t="n">
        <v>45857</v>
      </c>
      <c r="D106" s="2" t="s">
        <v>91</v>
      </c>
      <c r="E106" s="2" t="s">
        <v>48</v>
      </c>
      <c r="F106" s="2" t="s">
        <v>32</v>
      </c>
      <c r="G106" s="2" t="s">
        <v>33</v>
      </c>
      <c r="H106" s="2" t="s">
        <v>28</v>
      </c>
      <c r="I106" s="2" t="s">
        <v>36</v>
      </c>
      <c r="J106" s="4" t="n">
        <v>821.22</v>
      </c>
      <c r="K106" s="2" t="n">
        <v>4</v>
      </c>
      <c r="L106" s="5" t="n">
        <v>0</v>
      </c>
      <c r="M106" s="6" t="n">
        <v>135.67</v>
      </c>
    </row>
    <row r="107" customFormat="false" ht="15" hidden="false" customHeight="false" outlineLevel="0" collapsed="false">
      <c r="A107" s="2" t="s">
        <v>169</v>
      </c>
      <c r="B107" s="3" t="n">
        <v>45853</v>
      </c>
      <c r="C107" s="3" t="n">
        <v>45859</v>
      </c>
      <c r="D107" s="2" t="s">
        <v>76</v>
      </c>
      <c r="E107" s="2" t="s">
        <v>48</v>
      </c>
      <c r="F107" s="2" t="s">
        <v>16</v>
      </c>
      <c r="G107" s="2" t="s">
        <v>27</v>
      </c>
      <c r="H107" s="2" t="s">
        <v>18</v>
      </c>
      <c r="I107" s="2" t="s">
        <v>56</v>
      </c>
      <c r="J107" s="4" t="n">
        <v>215.53</v>
      </c>
      <c r="K107" s="2" t="n">
        <v>4</v>
      </c>
      <c r="L107" s="5" t="n">
        <v>0.3</v>
      </c>
      <c r="M107" s="6" t="n">
        <v>38.43</v>
      </c>
    </row>
    <row r="108" customFormat="false" ht="15" hidden="false" customHeight="false" outlineLevel="0" collapsed="false">
      <c r="A108" s="2" t="s">
        <v>170</v>
      </c>
      <c r="B108" s="3" t="n">
        <v>45854</v>
      </c>
      <c r="C108" s="3" t="n">
        <v>45857</v>
      </c>
      <c r="D108" s="2" t="s">
        <v>101</v>
      </c>
      <c r="E108" s="2" t="s">
        <v>48</v>
      </c>
      <c r="F108" s="2" t="s">
        <v>16</v>
      </c>
      <c r="G108" s="2" t="s">
        <v>64</v>
      </c>
      <c r="H108" s="2" t="s">
        <v>18</v>
      </c>
      <c r="I108" s="2" t="s">
        <v>56</v>
      </c>
      <c r="J108" s="4" t="n">
        <v>445.01</v>
      </c>
      <c r="K108" s="2" t="n">
        <v>7</v>
      </c>
      <c r="L108" s="5" t="n">
        <v>0.1</v>
      </c>
      <c r="M108" s="6" t="n">
        <v>68.7</v>
      </c>
    </row>
    <row r="109" customFormat="false" ht="15" hidden="false" customHeight="false" outlineLevel="0" collapsed="false">
      <c r="A109" s="2" t="s">
        <v>171</v>
      </c>
      <c r="B109" s="3" t="n">
        <v>45857</v>
      </c>
      <c r="C109" s="3" t="n">
        <v>45862</v>
      </c>
      <c r="D109" s="2" t="s">
        <v>38</v>
      </c>
      <c r="E109" s="2" t="s">
        <v>48</v>
      </c>
      <c r="F109" s="2" t="s">
        <v>41</v>
      </c>
      <c r="G109" s="2" t="s">
        <v>79</v>
      </c>
      <c r="H109" s="2" t="s">
        <v>28</v>
      </c>
      <c r="I109" s="2" t="s">
        <v>29</v>
      </c>
      <c r="J109" s="4" t="n">
        <v>497.61</v>
      </c>
      <c r="K109" s="2" t="n">
        <v>9</v>
      </c>
      <c r="L109" s="5" t="n">
        <v>0</v>
      </c>
      <c r="M109" s="6" t="n">
        <v>146.96</v>
      </c>
    </row>
    <row r="110" customFormat="false" ht="15" hidden="false" customHeight="false" outlineLevel="0" collapsed="false">
      <c r="A110" s="2" t="s">
        <v>172</v>
      </c>
      <c r="B110" s="3" t="n">
        <v>45860</v>
      </c>
      <c r="C110" s="3" t="n">
        <v>45864</v>
      </c>
      <c r="D110" s="2" t="s">
        <v>72</v>
      </c>
      <c r="E110" s="2" t="s">
        <v>48</v>
      </c>
      <c r="F110" s="2" t="s">
        <v>41</v>
      </c>
      <c r="G110" s="2" t="s">
        <v>49</v>
      </c>
      <c r="H110" s="2" t="s">
        <v>28</v>
      </c>
      <c r="I110" s="2" t="s">
        <v>29</v>
      </c>
      <c r="J110" s="4" t="n">
        <v>257.96</v>
      </c>
      <c r="K110" s="2" t="n">
        <v>9</v>
      </c>
      <c r="L110" s="5" t="n">
        <v>0.3</v>
      </c>
      <c r="M110" s="6" t="n">
        <v>59.54</v>
      </c>
    </row>
    <row r="111" customFormat="false" ht="15" hidden="false" customHeight="false" outlineLevel="0" collapsed="false">
      <c r="A111" s="2" t="s">
        <v>173</v>
      </c>
      <c r="B111" s="3" t="n">
        <v>45861</v>
      </c>
      <c r="C111" s="3" t="n">
        <v>45866</v>
      </c>
      <c r="D111" s="2" t="s">
        <v>21</v>
      </c>
      <c r="E111" s="2" t="s">
        <v>48</v>
      </c>
      <c r="F111" s="2" t="s">
        <v>41</v>
      </c>
      <c r="G111" s="2" t="s">
        <v>79</v>
      </c>
      <c r="H111" s="2" t="s">
        <v>28</v>
      </c>
      <c r="I111" s="2" t="s">
        <v>29</v>
      </c>
      <c r="J111" s="4" t="n">
        <v>83.37</v>
      </c>
      <c r="K111" s="2" t="n">
        <v>3</v>
      </c>
      <c r="L111" s="5" t="n">
        <v>0.3</v>
      </c>
      <c r="M111" s="6" t="n">
        <v>18.14</v>
      </c>
    </row>
    <row r="112" customFormat="false" ht="15" hidden="false" customHeight="false" outlineLevel="0" collapsed="false">
      <c r="A112" s="2" t="s">
        <v>174</v>
      </c>
      <c r="B112" s="3" t="n">
        <v>45865</v>
      </c>
      <c r="C112" s="3" t="n">
        <v>45872</v>
      </c>
      <c r="D112" s="2" t="s">
        <v>84</v>
      </c>
      <c r="E112" s="2" t="s">
        <v>15</v>
      </c>
      <c r="F112" s="2" t="s">
        <v>16</v>
      </c>
      <c r="G112" s="2" t="s">
        <v>17</v>
      </c>
      <c r="H112" s="2" t="s">
        <v>28</v>
      </c>
      <c r="I112" s="2" t="s">
        <v>36</v>
      </c>
      <c r="J112" s="4" t="n">
        <v>1703.05</v>
      </c>
      <c r="K112" s="2" t="n">
        <v>8</v>
      </c>
      <c r="L112" s="5" t="n">
        <v>0</v>
      </c>
      <c r="M112" s="6" t="n">
        <v>203.18</v>
      </c>
    </row>
    <row r="113" customFormat="false" ht="15" hidden="false" customHeight="false" outlineLevel="0" collapsed="false">
      <c r="A113" s="2" t="s">
        <v>175</v>
      </c>
      <c r="B113" s="3" t="n">
        <v>45868</v>
      </c>
      <c r="C113" s="3" t="n">
        <v>45872</v>
      </c>
      <c r="D113" s="2" t="s">
        <v>55</v>
      </c>
      <c r="E113" s="2" t="s">
        <v>48</v>
      </c>
      <c r="F113" s="2" t="s">
        <v>41</v>
      </c>
      <c r="G113" s="2" t="s">
        <v>49</v>
      </c>
      <c r="H113" s="2" t="s">
        <v>18</v>
      </c>
      <c r="I113" s="2" t="s">
        <v>66</v>
      </c>
      <c r="J113" s="4" t="n">
        <v>68.11</v>
      </c>
      <c r="K113" s="2" t="n">
        <v>9</v>
      </c>
      <c r="L113" s="5" t="n">
        <v>0.15</v>
      </c>
      <c r="M113" s="6" t="n">
        <v>24.26</v>
      </c>
    </row>
    <row r="114" customFormat="false" ht="15" hidden="false" customHeight="false" outlineLevel="0" collapsed="false">
      <c r="A114" s="2" t="s">
        <v>176</v>
      </c>
      <c r="B114" s="3" t="n">
        <v>45869</v>
      </c>
      <c r="C114" s="3" t="n">
        <v>45871</v>
      </c>
      <c r="D114" s="2" t="s">
        <v>21</v>
      </c>
      <c r="E114" s="2" t="s">
        <v>48</v>
      </c>
      <c r="F114" s="2" t="s">
        <v>16</v>
      </c>
      <c r="G114" s="2" t="s">
        <v>27</v>
      </c>
      <c r="H114" s="2" t="s">
        <v>18</v>
      </c>
      <c r="I114" s="2" t="s">
        <v>58</v>
      </c>
      <c r="J114" s="4" t="n">
        <v>101.1</v>
      </c>
      <c r="K114" s="2" t="n">
        <v>3</v>
      </c>
      <c r="L114" s="5" t="n">
        <v>0</v>
      </c>
      <c r="M114" s="6" t="n">
        <v>11.77</v>
      </c>
    </row>
    <row r="115" customFormat="false" ht="15" hidden="false" customHeight="false" outlineLevel="0" collapsed="false">
      <c r="A115" s="2" t="s">
        <v>177</v>
      </c>
      <c r="B115" s="3" t="n">
        <v>45870</v>
      </c>
      <c r="C115" s="3" t="n">
        <v>45874</v>
      </c>
      <c r="D115" s="2" t="s">
        <v>45</v>
      </c>
      <c r="E115" s="2" t="s">
        <v>48</v>
      </c>
      <c r="F115" s="2" t="s">
        <v>52</v>
      </c>
      <c r="G115" s="2" t="s">
        <v>61</v>
      </c>
      <c r="H115" s="2" t="s">
        <v>22</v>
      </c>
      <c r="I115" s="2" t="s">
        <v>23</v>
      </c>
      <c r="J115" s="4" t="n">
        <v>313.45</v>
      </c>
      <c r="K115" s="2" t="n">
        <v>2</v>
      </c>
      <c r="L115" s="5" t="n">
        <v>0.2</v>
      </c>
      <c r="M115" s="6" t="n">
        <v>7.02</v>
      </c>
    </row>
    <row r="116" customFormat="false" ht="15" hidden="false" customHeight="false" outlineLevel="0" collapsed="false">
      <c r="A116" s="2" t="s">
        <v>178</v>
      </c>
      <c r="B116" s="3" t="n">
        <v>45870</v>
      </c>
      <c r="C116" s="3" t="n">
        <v>45877</v>
      </c>
      <c r="D116" s="2" t="s">
        <v>91</v>
      </c>
      <c r="E116" s="2" t="s">
        <v>15</v>
      </c>
      <c r="F116" s="2" t="s">
        <v>32</v>
      </c>
      <c r="G116" s="2" t="s">
        <v>39</v>
      </c>
      <c r="H116" s="2" t="s">
        <v>22</v>
      </c>
      <c r="I116" s="2" t="s">
        <v>50</v>
      </c>
      <c r="J116" s="4" t="n">
        <v>447</v>
      </c>
      <c r="K116" s="2" t="n">
        <v>3</v>
      </c>
      <c r="L116" s="5" t="n">
        <v>0.1</v>
      </c>
      <c r="M116" s="6" t="n">
        <v>78.12</v>
      </c>
    </row>
    <row r="117" customFormat="false" ht="15" hidden="false" customHeight="false" outlineLevel="0" collapsed="false">
      <c r="A117" s="2" t="s">
        <v>179</v>
      </c>
      <c r="B117" s="3" t="n">
        <v>45871</v>
      </c>
      <c r="C117" s="3" t="n">
        <v>45877</v>
      </c>
      <c r="D117" s="2" t="s">
        <v>14</v>
      </c>
      <c r="E117" s="2" t="s">
        <v>48</v>
      </c>
      <c r="F117" s="2" t="s">
        <v>41</v>
      </c>
      <c r="G117" s="2" t="s">
        <v>42</v>
      </c>
      <c r="H117" s="2" t="s">
        <v>18</v>
      </c>
      <c r="I117" s="2" t="s">
        <v>56</v>
      </c>
      <c r="J117" s="4" t="n">
        <v>559.25</v>
      </c>
      <c r="K117" s="2" t="n">
        <v>8</v>
      </c>
      <c r="L117" s="5" t="n">
        <v>0</v>
      </c>
      <c r="M117" s="6" t="n">
        <v>91.23</v>
      </c>
    </row>
    <row r="118" customFormat="false" ht="15" hidden="false" customHeight="false" outlineLevel="0" collapsed="false">
      <c r="A118" s="2" t="s">
        <v>180</v>
      </c>
      <c r="B118" s="3" t="n">
        <v>45872</v>
      </c>
      <c r="C118" s="3" t="n">
        <v>45878</v>
      </c>
      <c r="D118" s="2" t="s">
        <v>91</v>
      </c>
      <c r="E118" s="2" t="s">
        <v>48</v>
      </c>
      <c r="F118" s="2" t="s">
        <v>52</v>
      </c>
      <c r="G118" s="2" t="s">
        <v>61</v>
      </c>
      <c r="H118" s="2" t="s">
        <v>28</v>
      </c>
      <c r="I118" s="2" t="s">
        <v>29</v>
      </c>
      <c r="J118" s="4" t="n">
        <v>289.49</v>
      </c>
      <c r="K118" s="2" t="n">
        <v>7</v>
      </c>
      <c r="L118" s="5" t="n">
        <v>0</v>
      </c>
      <c r="M118" s="6" t="n">
        <v>66.54</v>
      </c>
    </row>
    <row r="119" customFormat="false" ht="15" hidden="false" customHeight="false" outlineLevel="0" collapsed="false">
      <c r="A119" s="2" t="s">
        <v>181</v>
      </c>
      <c r="B119" s="3" t="n">
        <v>45874</v>
      </c>
      <c r="C119" s="3" t="n">
        <v>45877</v>
      </c>
      <c r="D119" s="2" t="s">
        <v>60</v>
      </c>
      <c r="E119" s="2" t="s">
        <v>15</v>
      </c>
      <c r="F119" s="2" t="s">
        <v>16</v>
      </c>
      <c r="G119" s="2" t="s">
        <v>64</v>
      </c>
      <c r="H119" s="2" t="s">
        <v>28</v>
      </c>
      <c r="I119" s="2" t="s">
        <v>81</v>
      </c>
      <c r="J119" s="4" t="n">
        <v>611.84</v>
      </c>
      <c r="K119" s="2" t="n">
        <v>2</v>
      </c>
      <c r="L119" s="5" t="n">
        <v>0</v>
      </c>
      <c r="M119" s="6" t="n">
        <v>26.69</v>
      </c>
    </row>
    <row r="120" customFormat="false" ht="15" hidden="false" customHeight="false" outlineLevel="0" collapsed="false">
      <c r="A120" s="2" t="s">
        <v>182</v>
      </c>
      <c r="B120" s="3" t="n">
        <v>45875</v>
      </c>
      <c r="C120" s="3" t="n">
        <v>45877</v>
      </c>
      <c r="D120" s="2" t="s">
        <v>91</v>
      </c>
      <c r="E120" s="2" t="s">
        <v>26</v>
      </c>
      <c r="F120" s="2" t="s">
        <v>16</v>
      </c>
      <c r="G120" s="2" t="s">
        <v>17</v>
      </c>
      <c r="H120" s="2" t="s">
        <v>18</v>
      </c>
      <c r="I120" s="2" t="s">
        <v>58</v>
      </c>
      <c r="J120" s="4" t="n">
        <v>59.06</v>
      </c>
      <c r="K120" s="2" t="n">
        <v>2</v>
      </c>
      <c r="L120" s="5" t="n">
        <v>0</v>
      </c>
      <c r="M120" s="6" t="n">
        <v>6.42</v>
      </c>
    </row>
    <row r="121" customFormat="false" ht="15" hidden="false" customHeight="false" outlineLevel="0" collapsed="false">
      <c r="A121" s="2" t="s">
        <v>183</v>
      </c>
      <c r="B121" s="3" t="n">
        <v>45876</v>
      </c>
      <c r="C121" s="3" t="n">
        <v>45882</v>
      </c>
      <c r="D121" s="2" t="s">
        <v>89</v>
      </c>
      <c r="E121" s="2" t="s">
        <v>26</v>
      </c>
      <c r="F121" s="2" t="s">
        <v>52</v>
      </c>
      <c r="G121" s="2" t="s">
        <v>106</v>
      </c>
      <c r="H121" s="2" t="s">
        <v>18</v>
      </c>
      <c r="I121" s="2" t="s">
        <v>56</v>
      </c>
      <c r="J121" s="4" t="n">
        <v>126.72</v>
      </c>
      <c r="K121" s="2" t="n">
        <v>4</v>
      </c>
      <c r="L121" s="5" t="n">
        <v>0.3</v>
      </c>
      <c r="M121" s="6" t="n">
        <v>24.57</v>
      </c>
    </row>
    <row r="122" customFormat="false" ht="15" hidden="false" customHeight="false" outlineLevel="0" collapsed="false">
      <c r="A122" s="2" t="s">
        <v>184</v>
      </c>
      <c r="B122" s="3" t="n">
        <v>45878</v>
      </c>
      <c r="C122" s="3" t="n">
        <v>45884</v>
      </c>
      <c r="D122" s="2" t="s">
        <v>89</v>
      </c>
      <c r="E122" s="2" t="s">
        <v>15</v>
      </c>
      <c r="F122" s="2" t="s">
        <v>16</v>
      </c>
      <c r="G122" s="2" t="s">
        <v>27</v>
      </c>
      <c r="H122" s="2" t="s">
        <v>22</v>
      </c>
      <c r="I122" s="2" t="s">
        <v>43</v>
      </c>
      <c r="J122" s="4" t="n">
        <v>2275.47</v>
      </c>
      <c r="K122" s="2" t="n">
        <v>7</v>
      </c>
      <c r="L122" s="5" t="n">
        <v>0</v>
      </c>
      <c r="M122" s="6" t="n">
        <v>-181.16</v>
      </c>
    </row>
    <row r="123" customFormat="false" ht="15" hidden="false" customHeight="false" outlineLevel="0" collapsed="false">
      <c r="A123" s="2" t="s">
        <v>185</v>
      </c>
      <c r="B123" s="3" t="n">
        <v>45879</v>
      </c>
      <c r="C123" s="3" t="n">
        <v>45886</v>
      </c>
      <c r="D123" s="2" t="s">
        <v>89</v>
      </c>
      <c r="E123" s="2" t="s">
        <v>48</v>
      </c>
      <c r="F123" s="2" t="s">
        <v>41</v>
      </c>
      <c r="G123" s="2" t="s">
        <v>79</v>
      </c>
      <c r="H123" s="2" t="s">
        <v>28</v>
      </c>
      <c r="I123" s="2" t="s">
        <v>81</v>
      </c>
      <c r="J123" s="4" t="n">
        <v>1654.27</v>
      </c>
      <c r="K123" s="2" t="n">
        <v>5</v>
      </c>
      <c r="L123" s="5" t="n">
        <v>0.1</v>
      </c>
      <c r="M123" s="6" t="n">
        <v>55.87</v>
      </c>
    </row>
    <row r="124" customFormat="false" ht="15" hidden="false" customHeight="false" outlineLevel="0" collapsed="false">
      <c r="A124" s="2" t="s">
        <v>186</v>
      </c>
      <c r="B124" s="3" t="n">
        <v>45882</v>
      </c>
      <c r="C124" s="3" t="n">
        <v>45884</v>
      </c>
      <c r="D124" s="2" t="s">
        <v>109</v>
      </c>
      <c r="E124" s="2" t="s">
        <v>48</v>
      </c>
      <c r="F124" s="2" t="s">
        <v>32</v>
      </c>
      <c r="G124" s="2" t="s">
        <v>33</v>
      </c>
      <c r="H124" s="2" t="s">
        <v>22</v>
      </c>
      <c r="I124" s="2" t="s">
        <v>43</v>
      </c>
      <c r="J124" s="4" t="n">
        <v>674.99</v>
      </c>
      <c r="K124" s="2" t="n">
        <v>3</v>
      </c>
      <c r="L124" s="5" t="n">
        <v>0</v>
      </c>
      <c r="M124" s="6" t="n">
        <v>-20.75</v>
      </c>
    </row>
    <row r="125" customFormat="false" ht="15" hidden="false" customHeight="false" outlineLevel="0" collapsed="false">
      <c r="A125" s="2" t="s">
        <v>187</v>
      </c>
      <c r="B125" s="3" t="n">
        <v>45882</v>
      </c>
      <c r="C125" s="3" t="n">
        <v>45884</v>
      </c>
      <c r="D125" s="2" t="s">
        <v>55</v>
      </c>
      <c r="E125" s="2" t="s">
        <v>15</v>
      </c>
      <c r="F125" s="2" t="s">
        <v>16</v>
      </c>
      <c r="G125" s="2" t="s">
        <v>17</v>
      </c>
      <c r="H125" s="2" t="s">
        <v>22</v>
      </c>
      <c r="I125" s="2" t="s">
        <v>43</v>
      </c>
      <c r="J125" s="4" t="n">
        <v>1006.27</v>
      </c>
      <c r="K125" s="2" t="n">
        <v>3</v>
      </c>
      <c r="L125" s="5" t="n">
        <v>0</v>
      </c>
      <c r="M125" s="6" t="n">
        <v>-94.36</v>
      </c>
    </row>
    <row r="126" customFormat="false" ht="15" hidden="false" customHeight="false" outlineLevel="0" collapsed="false">
      <c r="A126" s="2" t="s">
        <v>188</v>
      </c>
      <c r="B126" s="3" t="n">
        <v>45883</v>
      </c>
      <c r="C126" s="3" t="n">
        <v>45885</v>
      </c>
      <c r="D126" s="2" t="s">
        <v>101</v>
      </c>
      <c r="E126" s="2" t="s">
        <v>15</v>
      </c>
      <c r="F126" s="2" t="s">
        <v>41</v>
      </c>
      <c r="G126" s="2" t="s">
        <v>49</v>
      </c>
      <c r="H126" s="2" t="s">
        <v>22</v>
      </c>
      <c r="I126" s="2" t="s">
        <v>70</v>
      </c>
      <c r="J126" s="4" t="n">
        <v>40.21</v>
      </c>
      <c r="K126" s="2" t="n">
        <v>1</v>
      </c>
      <c r="L126" s="5" t="n">
        <v>0.15</v>
      </c>
      <c r="M126" s="6" t="n">
        <v>7.37</v>
      </c>
    </row>
    <row r="127" customFormat="false" ht="15" hidden="false" customHeight="false" outlineLevel="0" collapsed="false">
      <c r="A127" s="2" t="s">
        <v>189</v>
      </c>
      <c r="B127" s="3" t="n">
        <v>45885</v>
      </c>
      <c r="C127" s="3" t="n">
        <v>45888</v>
      </c>
      <c r="D127" s="2" t="s">
        <v>14</v>
      </c>
      <c r="E127" s="2" t="s">
        <v>26</v>
      </c>
      <c r="F127" s="2" t="s">
        <v>41</v>
      </c>
      <c r="G127" s="2" t="s">
        <v>49</v>
      </c>
      <c r="H127" s="2" t="s">
        <v>18</v>
      </c>
      <c r="I127" s="2" t="s">
        <v>66</v>
      </c>
      <c r="J127" s="4" t="n">
        <v>24.09</v>
      </c>
      <c r="K127" s="2" t="n">
        <v>2</v>
      </c>
      <c r="L127" s="5" t="n">
        <v>0</v>
      </c>
      <c r="M127" s="6" t="n">
        <v>9.06</v>
      </c>
    </row>
    <row r="128" customFormat="false" ht="15" hidden="false" customHeight="false" outlineLevel="0" collapsed="false">
      <c r="A128" s="2" t="s">
        <v>190</v>
      </c>
      <c r="B128" s="3" t="n">
        <v>45887</v>
      </c>
      <c r="C128" s="3" t="n">
        <v>45893</v>
      </c>
      <c r="D128" s="2" t="s">
        <v>72</v>
      </c>
      <c r="E128" s="2" t="s">
        <v>26</v>
      </c>
      <c r="F128" s="2" t="s">
        <v>52</v>
      </c>
      <c r="G128" s="2" t="s">
        <v>61</v>
      </c>
      <c r="H128" s="2" t="s">
        <v>22</v>
      </c>
      <c r="I128" s="2" t="s">
        <v>43</v>
      </c>
      <c r="J128" s="4" t="n">
        <v>2849.4</v>
      </c>
      <c r="K128" s="2" t="n">
        <v>8</v>
      </c>
      <c r="L128" s="5" t="n">
        <v>0</v>
      </c>
      <c r="M128" s="6" t="n">
        <v>-97.21</v>
      </c>
    </row>
    <row r="129" customFormat="false" ht="15" hidden="false" customHeight="false" outlineLevel="0" collapsed="false">
      <c r="A129" s="2" t="s">
        <v>191</v>
      </c>
      <c r="B129" s="3" t="n">
        <v>45888</v>
      </c>
      <c r="C129" s="3" t="n">
        <v>45890</v>
      </c>
      <c r="D129" s="2" t="s">
        <v>89</v>
      </c>
      <c r="E129" s="2" t="s">
        <v>48</v>
      </c>
      <c r="F129" s="2" t="s">
        <v>41</v>
      </c>
      <c r="G129" s="2" t="s">
        <v>49</v>
      </c>
      <c r="H129" s="2" t="s">
        <v>18</v>
      </c>
      <c r="I129" s="2" t="s">
        <v>66</v>
      </c>
      <c r="J129" s="4" t="n">
        <v>68.76</v>
      </c>
      <c r="K129" s="2" t="n">
        <v>6</v>
      </c>
      <c r="L129" s="5" t="n">
        <v>0.15</v>
      </c>
      <c r="M129" s="6" t="n">
        <v>21.67</v>
      </c>
    </row>
    <row r="130" customFormat="false" ht="15" hidden="false" customHeight="false" outlineLevel="0" collapsed="false">
      <c r="A130" s="2" t="s">
        <v>192</v>
      </c>
      <c r="B130" s="3" t="n">
        <v>45888</v>
      </c>
      <c r="C130" s="3" t="n">
        <v>45892</v>
      </c>
      <c r="D130" s="2" t="s">
        <v>47</v>
      </c>
      <c r="E130" s="2" t="s">
        <v>48</v>
      </c>
      <c r="F130" s="2" t="s">
        <v>41</v>
      </c>
      <c r="G130" s="2" t="s">
        <v>42</v>
      </c>
      <c r="H130" s="2" t="s">
        <v>28</v>
      </c>
      <c r="I130" s="2" t="s">
        <v>29</v>
      </c>
      <c r="J130" s="4" t="n">
        <v>243.6</v>
      </c>
      <c r="K130" s="2" t="n">
        <v>7</v>
      </c>
      <c r="L130" s="5" t="n">
        <v>0</v>
      </c>
      <c r="M130" s="6" t="n">
        <v>56.77</v>
      </c>
    </row>
    <row r="131" customFormat="false" ht="15" hidden="false" customHeight="false" outlineLevel="0" collapsed="false">
      <c r="A131" s="2" t="s">
        <v>193</v>
      </c>
      <c r="B131" s="3" t="n">
        <v>45890</v>
      </c>
      <c r="C131" s="3" t="n">
        <v>45893</v>
      </c>
      <c r="D131" s="2" t="s">
        <v>101</v>
      </c>
      <c r="E131" s="2" t="s">
        <v>15</v>
      </c>
      <c r="F131" s="2" t="s">
        <v>41</v>
      </c>
      <c r="G131" s="2" t="s">
        <v>79</v>
      </c>
      <c r="H131" s="2" t="s">
        <v>28</v>
      </c>
      <c r="I131" s="2" t="s">
        <v>29</v>
      </c>
      <c r="J131" s="4" t="n">
        <v>207.72</v>
      </c>
      <c r="K131" s="2" t="n">
        <v>8</v>
      </c>
      <c r="L131" s="5" t="n">
        <v>0.15</v>
      </c>
      <c r="M131" s="6" t="n">
        <v>50.8</v>
      </c>
    </row>
    <row r="132" customFormat="false" ht="15" hidden="false" customHeight="false" outlineLevel="0" collapsed="false">
      <c r="A132" s="2" t="s">
        <v>194</v>
      </c>
      <c r="B132" s="3" t="n">
        <v>45891</v>
      </c>
      <c r="C132" s="3" t="n">
        <v>45894</v>
      </c>
      <c r="D132" s="2" t="s">
        <v>109</v>
      </c>
      <c r="E132" s="2" t="s">
        <v>48</v>
      </c>
      <c r="F132" s="2" t="s">
        <v>41</v>
      </c>
      <c r="G132" s="2" t="s">
        <v>42</v>
      </c>
      <c r="H132" s="2" t="s">
        <v>22</v>
      </c>
      <c r="I132" s="2" t="s">
        <v>50</v>
      </c>
      <c r="J132" s="4" t="n">
        <v>1254.83</v>
      </c>
      <c r="K132" s="2" t="n">
        <v>9</v>
      </c>
      <c r="L132" s="5" t="n">
        <v>0.15</v>
      </c>
      <c r="M132" s="6" t="n">
        <v>156.75</v>
      </c>
    </row>
    <row r="133" customFormat="false" ht="15" hidden="false" customHeight="false" outlineLevel="0" collapsed="false">
      <c r="A133" s="2" t="s">
        <v>195</v>
      </c>
      <c r="B133" s="3" t="n">
        <v>45891</v>
      </c>
      <c r="C133" s="3" t="n">
        <v>45895</v>
      </c>
      <c r="D133" s="2" t="s">
        <v>45</v>
      </c>
      <c r="E133" s="2" t="s">
        <v>48</v>
      </c>
      <c r="F133" s="2" t="s">
        <v>52</v>
      </c>
      <c r="G133" s="2" t="s">
        <v>61</v>
      </c>
      <c r="H133" s="2" t="s">
        <v>28</v>
      </c>
      <c r="I133" s="2" t="s">
        <v>81</v>
      </c>
      <c r="J133" s="4" t="n">
        <v>956.89</v>
      </c>
      <c r="K133" s="2" t="n">
        <v>3</v>
      </c>
      <c r="L133" s="5" t="n">
        <v>0.1</v>
      </c>
      <c r="M133" s="6" t="n">
        <v>23.46</v>
      </c>
    </row>
    <row r="134" customFormat="false" ht="15" hidden="false" customHeight="false" outlineLevel="0" collapsed="false">
      <c r="A134" s="2" t="s">
        <v>196</v>
      </c>
      <c r="B134" s="3" t="n">
        <v>45892</v>
      </c>
      <c r="C134" s="3" t="n">
        <v>45898</v>
      </c>
      <c r="D134" s="2" t="s">
        <v>74</v>
      </c>
      <c r="E134" s="2" t="s">
        <v>26</v>
      </c>
      <c r="F134" s="2" t="s">
        <v>41</v>
      </c>
      <c r="G134" s="2" t="s">
        <v>42</v>
      </c>
      <c r="H134" s="2" t="s">
        <v>28</v>
      </c>
      <c r="I134" s="2" t="s">
        <v>81</v>
      </c>
      <c r="J134" s="4" t="n">
        <v>1805.8</v>
      </c>
      <c r="K134" s="2" t="n">
        <v>8</v>
      </c>
      <c r="L134" s="5" t="n">
        <v>0.3</v>
      </c>
      <c r="M134" s="6" t="n">
        <v>150.92</v>
      </c>
    </row>
    <row r="135" customFormat="false" ht="15" hidden="false" customHeight="false" outlineLevel="0" collapsed="false">
      <c r="A135" s="2" t="s">
        <v>197</v>
      </c>
      <c r="B135" s="3" t="n">
        <v>45893</v>
      </c>
      <c r="C135" s="3" t="n">
        <v>45899</v>
      </c>
      <c r="D135" s="2" t="s">
        <v>74</v>
      </c>
      <c r="E135" s="2" t="s">
        <v>15</v>
      </c>
      <c r="F135" s="2" t="s">
        <v>41</v>
      </c>
      <c r="G135" s="2" t="s">
        <v>49</v>
      </c>
      <c r="H135" s="2" t="s">
        <v>22</v>
      </c>
      <c r="I135" s="2" t="s">
        <v>70</v>
      </c>
      <c r="J135" s="4" t="n">
        <v>114.15</v>
      </c>
      <c r="K135" s="2" t="n">
        <v>2</v>
      </c>
      <c r="L135" s="5" t="n">
        <v>0</v>
      </c>
      <c r="M135" s="6" t="n">
        <v>24.01</v>
      </c>
    </row>
    <row r="136" customFormat="false" ht="15" hidden="false" customHeight="false" outlineLevel="0" collapsed="false">
      <c r="A136" s="2" t="s">
        <v>198</v>
      </c>
      <c r="B136" s="3" t="n">
        <v>45894</v>
      </c>
      <c r="C136" s="3" t="n">
        <v>45900</v>
      </c>
      <c r="D136" s="2" t="s">
        <v>91</v>
      </c>
      <c r="E136" s="2" t="s">
        <v>48</v>
      </c>
      <c r="F136" s="2" t="s">
        <v>52</v>
      </c>
      <c r="G136" s="2" t="s">
        <v>61</v>
      </c>
      <c r="H136" s="2" t="s">
        <v>18</v>
      </c>
      <c r="I136" s="2" t="s">
        <v>56</v>
      </c>
      <c r="J136" s="4" t="n">
        <v>88.65</v>
      </c>
      <c r="K136" s="2" t="n">
        <v>2</v>
      </c>
      <c r="L136" s="5" t="n">
        <v>0.3</v>
      </c>
      <c r="M136" s="6" t="n">
        <v>12.32</v>
      </c>
    </row>
    <row r="137" customFormat="false" ht="15" hidden="false" customHeight="false" outlineLevel="0" collapsed="false">
      <c r="A137" s="2" t="s">
        <v>199</v>
      </c>
      <c r="B137" s="3" t="n">
        <v>45896</v>
      </c>
      <c r="C137" s="3" t="n">
        <v>45903</v>
      </c>
      <c r="D137" s="2" t="s">
        <v>60</v>
      </c>
      <c r="E137" s="2" t="s">
        <v>15</v>
      </c>
      <c r="F137" s="2" t="s">
        <v>16</v>
      </c>
      <c r="G137" s="2" t="s">
        <v>64</v>
      </c>
      <c r="H137" s="2" t="s">
        <v>22</v>
      </c>
      <c r="I137" s="2" t="s">
        <v>50</v>
      </c>
      <c r="J137" s="4" t="n">
        <v>495.12</v>
      </c>
      <c r="K137" s="2" t="n">
        <v>3</v>
      </c>
      <c r="L137" s="5" t="n">
        <v>0</v>
      </c>
      <c r="M137" s="6" t="n">
        <v>77.44</v>
      </c>
    </row>
    <row r="138" customFormat="false" ht="15" hidden="false" customHeight="false" outlineLevel="0" collapsed="false">
      <c r="A138" s="2" t="s">
        <v>200</v>
      </c>
      <c r="B138" s="3" t="n">
        <v>45898</v>
      </c>
      <c r="C138" s="3" t="n">
        <v>45901</v>
      </c>
      <c r="D138" s="2" t="s">
        <v>45</v>
      </c>
      <c r="E138" s="2" t="s">
        <v>15</v>
      </c>
      <c r="F138" s="2" t="s">
        <v>41</v>
      </c>
      <c r="G138" s="2" t="s">
        <v>79</v>
      </c>
      <c r="H138" s="2" t="s">
        <v>18</v>
      </c>
      <c r="I138" s="2" t="s">
        <v>66</v>
      </c>
      <c r="J138" s="4" t="n">
        <v>38.95</v>
      </c>
      <c r="K138" s="2" t="n">
        <v>5</v>
      </c>
      <c r="L138" s="5" t="n">
        <v>0.2</v>
      </c>
      <c r="M138" s="6" t="n">
        <v>12.11</v>
      </c>
    </row>
    <row r="139" customFormat="false" ht="15" hidden="false" customHeight="false" outlineLevel="0" collapsed="false">
      <c r="A139" s="2" t="s">
        <v>201</v>
      </c>
      <c r="B139" s="3" t="n">
        <v>45901</v>
      </c>
      <c r="C139" s="3" t="n">
        <v>45907</v>
      </c>
      <c r="D139" s="2" t="s">
        <v>47</v>
      </c>
      <c r="E139" s="2" t="s">
        <v>15</v>
      </c>
      <c r="F139" s="2" t="s">
        <v>16</v>
      </c>
      <c r="G139" s="2" t="s">
        <v>27</v>
      </c>
      <c r="H139" s="2" t="s">
        <v>28</v>
      </c>
      <c r="I139" s="2" t="s">
        <v>81</v>
      </c>
      <c r="J139" s="4" t="n">
        <v>1770.43</v>
      </c>
      <c r="K139" s="2" t="n">
        <v>4</v>
      </c>
      <c r="L139" s="5" t="n">
        <v>0</v>
      </c>
      <c r="M139" s="6" t="n">
        <v>-13.38</v>
      </c>
    </row>
    <row r="140" customFormat="false" ht="15" hidden="false" customHeight="false" outlineLevel="0" collapsed="false">
      <c r="A140" s="2" t="s">
        <v>202</v>
      </c>
      <c r="B140" s="3" t="n">
        <v>45902</v>
      </c>
      <c r="C140" s="3" t="n">
        <v>45904</v>
      </c>
      <c r="D140" s="2" t="s">
        <v>47</v>
      </c>
      <c r="E140" s="2" t="s">
        <v>15</v>
      </c>
      <c r="F140" s="2" t="s">
        <v>32</v>
      </c>
      <c r="G140" s="2" t="s">
        <v>33</v>
      </c>
      <c r="H140" s="2" t="s">
        <v>18</v>
      </c>
      <c r="I140" s="2" t="s">
        <v>58</v>
      </c>
      <c r="J140" s="4" t="n">
        <v>201.67</v>
      </c>
      <c r="K140" s="2" t="n">
        <v>8</v>
      </c>
      <c r="L140" s="5" t="n">
        <v>0</v>
      </c>
      <c r="M140" s="6" t="n">
        <v>25.52</v>
      </c>
    </row>
    <row r="141" customFormat="false" ht="15" hidden="false" customHeight="false" outlineLevel="0" collapsed="false">
      <c r="A141" s="2" t="s">
        <v>203</v>
      </c>
      <c r="B141" s="3" t="n">
        <v>45903</v>
      </c>
      <c r="C141" s="3" t="n">
        <v>45908</v>
      </c>
      <c r="D141" s="2" t="s">
        <v>55</v>
      </c>
      <c r="E141" s="2" t="s">
        <v>48</v>
      </c>
      <c r="F141" s="2" t="s">
        <v>41</v>
      </c>
      <c r="G141" s="2" t="s">
        <v>49</v>
      </c>
      <c r="H141" s="2" t="s">
        <v>22</v>
      </c>
      <c r="I141" s="2" t="s">
        <v>23</v>
      </c>
      <c r="J141" s="4" t="n">
        <v>1443.25</v>
      </c>
      <c r="K141" s="2" t="n">
        <v>9</v>
      </c>
      <c r="L141" s="5" t="n">
        <v>0.2</v>
      </c>
      <c r="M141" s="6" t="n">
        <v>110.27</v>
      </c>
    </row>
    <row r="142" customFormat="false" ht="15" hidden="false" customHeight="false" outlineLevel="0" collapsed="false">
      <c r="A142" s="2" t="s">
        <v>204</v>
      </c>
      <c r="B142" s="3" t="n">
        <v>45905</v>
      </c>
      <c r="C142" s="3" t="n">
        <v>45908</v>
      </c>
      <c r="D142" s="2" t="s">
        <v>25</v>
      </c>
      <c r="E142" s="2" t="s">
        <v>15</v>
      </c>
      <c r="F142" s="2" t="s">
        <v>32</v>
      </c>
      <c r="G142" s="2" t="s">
        <v>33</v>
      </c>
      <c r="H142" s="2" t="s">
        <v>28</v>
      </c>
      <c r="I142" s="2" t="s">
        <v>81</v>
      </c>
      <c r="J142" s="4" t="n">
        <v>293.62</v>
      </c>
      <c r="K142" s="2" t="n">
        <v>1</v>
      </c>
      <c r="L142" s="5" t="n">
        <v>0.2</v>
      </c>
      <c r="M142" s="6" t="n">
        <v>13.08</v>
      </c>
    </row>
    <row r="143" customFormat="false" ht="15" hidden="false" customHeight="false" outlineLevel="0" collapsed="false">
      <c r="A143" s="2" t="s">
        <v>205</v>
      </c>
      <c r="B143" s="3" t="n">
        <v>45906</v>
      </c>
      <c r="C143" s="3" t="n">
        <v>45908</v>
      </c>
      <c r="D143" s="2" t="s">
        <v>91</v>
      </c>
      <c r="E143" s="2" t="s">
        <v>26</v>
      </c>
      <c r="F143" s="2" t="s">
        <v>41</v>
      </c>
      <c r="G143" s="2" t="s">
        <v>49</v>
      </c>
      <c r="H143" s="2" t="s">
        <v>18</v>
      </c>
      <c r="I143" s="2" t="s">
        <v>56</v>
      </c>
      <c r="J143" s="4" t="n">
        <v>138.48</v>
      </c>
      <c r="K143" s="2" t="n">
        <v>4</v>
      </c>
      <c r="L143" s="5" t="n">
        <v>0.15</v>
      </c>
      <c r="M143" s="6" t="n">
        <v>31.12</v>
      </c>
    </row>
    <row r="144" customFormat="false" ht="15" hidden="false" customHeight="false" outlineLevel="0" collapsed="false">
      <c r="A144" s="2" t="s">
        <v>206</v>
      </c>
      <c r="B144" s="3" t="n">
        <v>45907</v>
      </c>
      <c r="C144" s="3" t="n">
        <v>45910</v>
      </c>
      <c r="D144" s="2" t="s">
        <v>76</v>
      </c>
      <c r="E144" s="2" t="s">
        <v>15</v>
      </c>
      <c r="F144" s="2" t="s">
        <v>16</v>
      </c>
      <c r="G144" s="2" t="s">
        <v>27</v>
      </c>
      <c r="H144" s="2" t="s">
        <v>28</v>
      </c>
      <c r="I144" s="2" t="s">
        <v>36</v>
      </c>
      <c r="J144" s="4" t="n">
        <v>1237.64</v>
      </c>
      <c r="K144" s="2" t="n">
        <v>7</v>
      </c>
      <c r="L144" s="5" t="n">
        <v>0.1</v>
      </c>
      <c r="M144" s="6" t="n">
        <v>241.46</v>
      </c>
    </row>
    <row r="145" customFormat="false" ht="15" hidden="false" customHeight="false" outlineLevel="0" collapsed="false">
      <c r="A145" s="2" t="s">
        <v>207</v>
      </c>
      <c r="B145" s="3" t="n">
        <v>45908</v>
      </c>
      <c r="C145" s="3" t="n">
        <v>45914</v>
      </c>
      <c r="D145" s="2" t="s">
        <v>84</v>
      </c>
      <c r="E145" s="2" t="s">
        <v>48</v>
      </c>
      <c r="F145" s="2" t="s">
        <v>52</v>
      </c>
      <c r="G145" s="2" t="s">
        <v>106</v>
      </c>
      <c r="H145" s="2" t="s">
        <v>18</v>
      </c>
      <c r="I145" s="2" t="s">
        <v>56</v>
      </c>
      <c r="J145" s="4" t="n">
        <v>350.02</v>
      </c>
      <c r="K145" s="2" t="n">
        <v>9</v>
      </c>
      <c r="L145" s="5" t="n">
        <v>0</v>
      </c>
      <c r="M145" s="6" t="n">
        <v>48.5</v>
      </c>
    </row>
    <row r="146" customFormat="false" ht="15" hidden="false" customHeight="false" outlineLevel="0" collapsed="false">
      <c r="A146" s="2" t="s">
        <v>208</v>
      </c>
      <c r="B146" s="3" t="n">
        <v>45912</v>
      </c>
      <c r="C146" s="3" t="n">
        <v>45919</v>
      </c>
      <c r="D146" s="2" t="s">
        <v>31</v>
      </c>
      <c r="E146" s="2" t="s">
        <v>15</v>
      </c>
      <c r="F146" s="2" t="s">
        <v>16</v>
      </c>
      <c r="G146" s="2" t="s">
        <v>17</v>
      </c>
      <c r="H146" s="2" t="s">
        <v>18</v>
      </c>
      <c r="I146" s="2" t="s">
        <v>58</v>
      </c>
      <c r="J146" s="4" t="n">
        <v>238.72</v>
      </c>
      <c r="K146" s="2" t="n">
        <v>8</v>
      </c>
      <c r="L146" s="5" t="n">
        <v>0.1</v>
      </c>
      <c r="M146" s="6" t="n">
        <v>15.26</v>
      </c>
    </row>
    <row r="147" customFormat="false" ht="15" hidden="false" customHeight="false" outlineLevel="0" collapsed="false">
      <c r="A147" s="2" t="s">
        <v>209</v>
      </c>
      <c r="B147" s="3" t="n">
        <v>45912</v>
      </c>
      <c r="C147" s="3" t="n">
        <v>45914</v>
      </c>
      <c r="D147" s="2" t="s">
        <v>47</v>
      </c>
      <c r="E147" s="2" t="s">
        <v>15</v>
      </c>
      <c r="F147" s="2" t="s">
        <v>32</v>
      </c>
      <c r="G147" s="2" t="s">
        <v>39</v>
      </c>
      <c r="H147" s="2" t="s">
        <v>18</v>
      </c>
      <c r="I147" s="2" t="s">
        <v>66</v>
      </c>
      <c r="J147" s="4" t="n">
        <v>32.09</v>
      </c>
      <c r="K147" s="2" t="n">
        <v>3</v>
      </c>
      <c r="L147" s="5" t="n">
        <v>0.15</v>
      </c>
      <c r="M147" s="6" t="n">
        <v>11.13</v>
      </c>
    </row>
    <row r="148" customFormat="false" ht="15" hidden="false" customHeight="false" outlineLevel="0" collapsed="false">
      <c r="A148" s="2" t="s">
        <v>210</v>
      </c>
      <c r="B148" s="3" t="n">
        <v>45913</v>
      </c>
      <c r="C148" s="3" t="n">
        <v>45919</v>
      </c>
      <c r="D148" s="2" t="s">
        <v>91</v>
      </c>
      <c r="E148" s="2" t="s">
        <v>26</v>
      </c>
      <c r="F148" s="2" t="s">
        <v>41</v>
      </c>
      <c r="G148" s="2" t="s">
        <v>42</v>
      </c>
      <c r="H148" s="2" t="s">
        <v>22</v>
      </c>
      <c r="I148" s="2" t="s">
        <v>50</v>
      </c>
      <c r="J148" s="4" t="n">
        <v>1092.2</v>
      </c>
      <c r="K148" s="2" t="n">
        <v>7</v>
      </c>
      <c r="L148" s="5" t="n">
        <v>0.15</v>
      </c>
      <c r="M148" s="6" t="n">
        <v>159.15</v>
      </c>
    </row>
    <row r="149" customFormat="false" ht="15" hidden="false" customHeight="false" outlineLevel="0" collapsed="false">
      <c r="A149" s="2" t="s">
        <v>211</v>
      </c>
      <c r="B149" s="3" t="n">
        <v>45914</v>
      </c>
      <c r="C149" s="3" t="n">
        <v>45917</v>
      </c>
      <c r="D149" s="2" t="s">
        <v>101</v>
      </c>
      <c r="E149" s="2" t="s">
        <v>26</v>
      </c>
      <c r="F149" s="2" t="s">
        <v>32</v>
      </c>
      <c r="G149" s="2" t="s">
        <v>39</v>
      </c>
      <c r="H149" s="2" t="s">
        <v>18</v>
      </c>
      <c r="I149" s="2" t="s">
        <v>56</v>
      </c>
      <c r="J149" s="4" t="n">
        <v>99.6</v>
      </c>
      <c r="K149" s="2" t="n">
        <v>2</v>
      </c>
      <c r="L149" s="5" t="n">
        <v>0</v>
      </c>
      <c r="M149" s="6" t="n">
        <v>17.47</v>
      </c>
    </row>
    <row r="150" customFormat="false" ht="15" hidden="false" customHeight="false" outlineLevel="0" collapsed="false">
      <c r="A150" s="2" t="s">
        <v>212</v>
      </c>
      <c r="B150" s="3" t="n">
        <v>45916</v>
      </c>
      <c r="C150" s="3" t="n">
        <v>45921</v>
      </c>
      <c r="D150" s="2" t="s">
        <v>60</v>
      </c>
      <c r="E150" s="2" t="s">
        <v>26</v>
      </c>
      <c r="F150" s="2" t="s">
        <v>32</v>
      </c>
      <c r="G150" s="2" t="s">
        <v>35</v>
      </c>
      <c r="H150" s="2" t="s">
        <v>22</v>
      </c>
      <c r="I150" s="2" t="s">
        <v>43</v>
      </c>
      <c r="J150" s="4" t="n">
        <v>1348.06</v>
      </c>
      <c r="K150" s="2" t="n">
        <v>5</v>
      </c>
      <c r="L150" s="5" t="n">
        <v>0.2</v>
      </c>
      <c r="M150" s="6" t="n">
        <v>-102.06</v>
      </c>
    </row>
    <row r="151" customFormat="false" ht="15" hidden="false" customHeight="false" outlineLevel="0" collapsed="false">
      <c r="A151" s="2" t="s">
        <v>213</v>
      </c>
      <c r="B151" s="3" t="n">
        <v>45918</v>
      </c>
      <c r="C151" s="3" t="n">
        <v>45921</v>
      </c>
      <c r="D151" s="2" t="s">
        <v>74</v>
      </c>
      <c r="E151" s="2" t="s">
        <v>26</v>
      </c>
      <c r="F151" s="2" t="s">
        <v>32</v>
      </c>
      <c r="G151" s="2" t="s">
        <v>35</v>
      </c>
      <c r="H151" s="2" t="s">
        <v>18</v>
      </c>
      <c r="I151" s="2" t="s">
        <v>56</v>
      </c>
      <c r="J151" s="4" t="n">
        <v>158.17</v>
      </c>
      <c r="K151" s="2" t="n">
        <v>3</v>
      </c>
      <c r="L151" s="5" t="n">
        <v>0.2</v>
      </c>
      <c r="M151" s="6" t="n">
        <v>30.65</v>
      </c>
    </row>
    <row r="152" customFormat="false" ht="15" hidden="false" customHeight="false" outlineLevel="0" collapsed="false">
      <c r="A152" s="2" t="s">
        <v>214</v>
      </c>
      <c r="B152" s="3" t="n">
        <v>45921</v>
      </c>
      <c r="C152" s="3" t="n">
        <v>45923</v>
      </c>
      <c r="D152" s="2" t="s">
        <v>91</v>
      </c>
      <c r="E152" s="2" t="s">
        <v>15</v>
      </c>
      <c r="F152" s="2" t="s">
        <v>52</v>
      </c>
      <c r="G152" s="2" t="s">
        <v>106</v>
      </c>
      <c r="H152" s="2" t="s">
        <v>28</v>
      </c>
      <c r="I152" s="2" t="s">
        <v>29</v>
      </c>
      <c r="J152" s="4" t="n">
        <v>243.73</v>
      </c>
      <c r="K152" s="2" t="n">
        <v>8</v>
      </c>
      <c r="L152" s="5" t="n">
        <v>0</v>
      </c>
      <c r="M152" s="6" t="n">
        <v>56.63</v>
      </c>
    </row>
    <row r="153" customFormat="false" ht="15" hidden="false" customHeight="false" outlineLevel="0" collapsed="false">
      <c r="A153" s="2" t="s">
        <v>215</v>
      </c>
      <c r="B153" s="3" t="n">
        <v>45926</v>
      </c>
      <c r="C153" s="3" t="n">
        <v>45932</v>
      </c>
      <c r="D153" s="2" t="s">
        <v>21</v>
      </c>
      <c r="E153" s="2" t="s">
        <v>15</v>
      </c>
      <c r="F153" s="2" t="s">
        <v>52</v>
      </c>
      <c r="G153" s="2" t="s">
        <v>106</v>
      </c>
      <c r="H153" s="2" t="s">
        <v>28</v>
      </c>
      <c r="I153" s="2" t="s">
        <v>36</v>
      </c>
      <c r="J153" s="4" t="n">
        <v>366.61</v>
      </c>
      <c r="K153" s="2" t="n">
        <v>3</v>
      </c>
      <c r="L153" s="5" t="n">
        <v>0.2</v>
      </c>
      <c r="M153" s="6" t="n">
        <v>56.38</v>
      </c>
    </row>
    <row r="154" customFormat="false" ht="15" hidden="false" customHeight="false" outlineLevel="0" collapsed="false">
      <c r="A154" s="2" t="s">
        <v>216</v>
      </c>
      <c r="B154" s="3" t="n">
        <v>45926</v>
      </c>
      <c r="C154" s="3" t="n">
        <v>45928</v>
      </c>
      <c r="D154" s="2" t="s">
        <v>47</v>
      </c>
      <c r="E154" s="2" t="s">
        <v>48</v>
      </c>
      <c r="F154" s="2" t="s">
        <v>41</v>
      </c>
      <c r="G154" s="2" t="s">
        <v>49</v>
      </c>
      <c r="H154" s="2" t="s">
        <v>28</v>
      </c>
      <c r="I154" s="2" t="s">
        <v>81</v>
      </c>
      <c r="J154" s="4" t="n">
        <v>712.19</v>
      </c>
      <c r="K154" s="2" t="n">
        <v>3</v>
      </c>
      <c r="L154" s="5" t="n">
        <v>0.15</v>
      </c>
      <c r="M154" s="6" t="n">
        <v>27.66</v>
      </c>
    </row>
    <row r="155" customFormat="false" ht="15" hidden="false" customHeight="false" outlineLevel="0" collapsed="false">
      <c r="A155" s="2" t="s">
        <v>217</v>
      </c>
      <c r="B155" s="3" t="n">
        <v>45927</v>
      </c>
      <c r="C155" s="3" t="n">
        <v>45932</v>
      </c>
      <c r="D155" s="2" t="s">
        <v>101</v>
      </c>
      <c r="E155" s="2" t="s">
        <v>48</v>
      </c>
      <c r="F155" s="2" t="s">
        <v>41</v>
      </c>
      <c r="G155" s="2" t="s">
        <v>79</v>
      </c>
      <c r="H155" s="2" t="s">
        <v>28</v>
      </c>
      <c r="I155" s="2" t="s">
        <v>29</v>
      </c>
      <c r="J155" s="4" t="n">
        <v>159.97</v>
      </c>
      <c r="K155" s="2" t="n">
        <v>4</v>
      </c>
      <c r="L155" s="5" t="n">
        <v>0.15</v>
      </c>
      <c r="M155" s="6" t="n">
        <v>45.96</v>
      </c>
    </row>
    <row r="156" customFormat="false" ht="15" hidden="false" customHeight="false" outlineLevel="0" collapsed="false">
      <c r="A156" s="2" t="s">
        <v>218</v>
      </c>
      <c r="B156" s="3" t="n">
        <v>45929</v>
      </c>
      <c r="C156" s="3" t="n">
        <v>45935</v>
      </c>
      <c r="D156" s="2" t="s">
        <v>60</v>
      </c>
      <c r="E156" s="2" t="s">
        <v>26</v>
      </c>
      <c r="F156" s="2" t="s">
        <v>32</v>
      </c>
      <c r="G156" s="2" t="s">
        <v>33</v>
      </c>
      <c r="H156" s="2" t="s">
        <v>18</v>
      </c>
      <c r="I156" s="2" t="s">
        <v>66</v>
      </c>
      <c r="J156" s="4" t="n">
        <v>32.33</v>
      </c>
      <c r="K156" s="2" t="n">
        <v>4</v>
      </c>
      <c r="L156" s="5" t="n">
        <v>0.15</v>
      </c>
      <c r="M156" s="6" t="n">
        <v>12.53</v>
      </c>
    </row>
    <row r="157" customFormat="false" ht="15" hidden="false" customHeight="false" outlineLevel="0" collapsed="false">
      <c r="A157" s="2" t="s">
        <v>219</v>
      </c>
      <c r="B157" s="3" t="n">
        <v>45929</v>
      </c>
      <c r="C157" s="3" t="n">
        <v>45935</v>
      </c>
      <c r="D157" s="2" t="s">
        <v>45</v>
      </c>
      <c r="E157" s="2" t="s">
        <v>15</v>
      </c>
      <c r="F157" s="2" t="s">
        <v>41</v>
      </c>
      <c r="G157" s="2" t="s">
        <v>79</v>
      </c>
      <c r="H157" s="2" t="s">
        <v>18</v>
      </c>
      <c r="I157" s="2" t="s">
        <v>56</v>
      </c>
      <c r="J157" s="4" t="n">
        <v>205.29</v>
      </c>
      <c r="K157" s="2" t="n">
        <v>4</v>
      </c>
      <c r="L157" s="5" t="n">
        <v>0</v>
      </c>
      <c r="M157" s="6" t="n">
        <v>28.26</v>
      </c>
    </row>
    <row r="158" customFormat="false" ht="15" hidden="false" customHeight="false" outlineLevel="0" collapsed="false">
      <c r="A158" s="2" t="s">
        <v>220</v>
      </c>
      <c r="B158" s="3" t="n">
        <v>45930</v>
      </c>
      <c r="C158" s="3" t="n">
        <v>45934</v>
      </c>
      <c r="D158" s="2" t="s">
        <v>91</v>
      </c>
      <c r="E158" s="2" t="s">
        <v>15</v>
      </c>
      <c r="F158" s="2" t="s">
        <v>52</v>
      </c>
      <c r="G158" s="2" t="s">
        <v>53</v>
      </c>
      <c r="H158" s="2" t="s">
        <v>28</v>
      </c>
      <c r="I158" s="2" t="s">
        <v>81</v>
      </c>
      <c r="J158" s="4" t="n">
        <v>2989.94</v>
      </c>
      <c r="K158" s="2" t="n">
        <v>8</v>
      </c>
      <c r="L158" s="5" t="n">
        <v>0</v>
      </c>
      <c r="M158" s="6" t="n">
        <v>256.14</v>
      </c>
    </row>
    <row r="159" customFormat="false" ht="15" hidden="false" customHeight="false" outlineLevel="0" collapsed="false">
      <c r="A159" s="2" t="s">
        <v>221</v>
      </c>
      <c r="B159" s="3" t="n">
        <v>45934</v>
      </c>
      <c r="C159" s="3" t="n">
        <v>45937</v>
      </c>
      <c r="D159" s="2" t="s">
        <v>38</v>
      </c>
      <c r="E159" s="2" t="s">
        <v>26</v>
      </c>
      <c r="F159" s="2" t="s">
        <v>16</v>
      </c>
      <c r="G159" s="2" t="s">
        <v>17</v>
      </c>
      <c r="H159" s="2" t="s">
        <v>28</v>
      </c>
      <c r="I159" s="2" t="s">
        <v>36</v>
      </c>
      <c r="J159" s="4" t="n">
        <v>182.98</v>
      </c>
      <c r="K159" s="2" t="n">
        <v>1</v>
      </c>
      <c r="L159" s="5" t="n">
        <v>0</v>
      </c>
      <c r="M159" s="6" t="n">
        <v>27.49</v>
      </c>
    </row>
    <row r="160" customFormat="false" ht="15" hidden="false" customHeight="false" outlineLevel="0" collapsed="false">
      <c r="A160" s="2" t="s">
        <v>222</v>
      </c>
      <c r="B160" s="3" t="n">
        <v>45937</v>
      </c>
      <c r="C160" s="3" t="n">
        <v>45941</v>
      </c>
      <c r="D160" s="2" t="s">
        <v>89</v>
      </c>
      <c r="E160" s="2" t="s">
        <v>26</v>
      </c>
      <c r="F160" s="2" t="s">
        <v>16</v>
      </c>
      <c r="G160" s="2" t="s">
        <v>64</v>
      </c>
      <c r="H160" s="2" t="s">
        <v>18</v>
      </c>
      <c r="I160" s="2" t="s">
        <v>19</v>
      </c>
      <c r="J160" s="4" t="n">
        <v>80.89</v>
      </c>
      <c r="K160" s="2" t="n">
        <v>7</v>
      </c>
      <c r="L160" s="5" t="n">
        <v>0.15</v>
      </c>
      <c r="M160" s="6" t="n">
        <v>28.27</v>
      </c>
    </row>
    <row r="161" customFormat="false" ht="15" hidden="false" customHeight="false" outlineLevel="0" collapsed="false">
      <c r="A161" s="2" t="s">
        <v>223</v>
      </c>
      <c r="B161" s="3" t="n">
        <v>45938</v>
      </c>
      <c r="C161" s="3" t="n">
        <v>45943</v>
      </c>
      <c r="D161" s="2" t="s">
        <v>21</v>
      </c>
      <c r="E161" s="2" t="s">
        <v>48</v>
      </c>
      <c r="F161" s="2" t="s">
        <v>52</v>
      </c>
      <c r="G161" s="2" t="s">
        <v>106</v>
      </c>
      <c r="H161" s="2" t="s">
        <v>28</v>
      </c>
      <c r="I161" s="2" t="s">
        <v>36</v>
      </c>
      <c r="J161" s="4" t="n">
        <v>1547.94</v>
      </c>
      <c r="K161" s="2" t="n">
        <v>6</v>
      </c>
      <c r="L161" s="5" t="n">
        <v>0.1</v>
      </c>
      <c r="M161" s="6" t="n">
        <v>265.11</v>
      </c>
    </row>
    <row r="162" customFormat="false" ht="15" hidden="false" customHeight="false" outlineLevel="0" collapsed="false">
      <c r="A162" s="2" t="s">
        <v>224</v>
      </c>
      <c r="B162" s="3" t="n">
        <v>45939</v>
      </c>
      <c r="C162" s="3" t="n">
        <v>45943</v>
      </c>
      <c r="D162" s="2" t="s">
        <v>74</v>
      </c>
      <c r="E162" s="2" t="s">
        <v>26</v>
      </c>
      <c r="F162" s="2" t="s">
        <v>52</v>
      </c>
      <c r="G162" s="2" t="s">
        <v>61</v>
      </c>
      <c r="H162" s="2" t="s">
        <v>28</v>
      </c>
      <c r="I162" s="2" t="s">
        <v>29</v>
      </c>
      <c r="J162" s="4" t="n">
        <v>260.94</v>
      </c>
      <c r="K162" s="2" t="n">
        <v>6</v>
      </c>
      <c r="L162" s="5" t="n">
        <v>0</v>
      </c>
      <c r="M162" s="6" t="n">
        <v>62.27</v>
      </c>
    </row>
    <row r="163" customFormat="false" ht="15" hidden="false" customHeight="false" outlineLevel="0" collapsed="false">
      <c r="A163" s="2" t="s">
        <v>225</v>
      </c>
      <c r="B163" s="3" t="n">
        <v>45943</v>
      </c>
      <c r="C163" s="3" t="n">
        <v>45947</v>
      </c>
      <c r="D163" s="2" t="s">
        <v>84</v>
      </c>
      <c r="E163" s="2" t="s">
        <v>15</v>
      </c>
      <c r="F163" s="2" t="s">
        <v>32</v>
      </c>
      <c r="G163" s="2" t="s">
        <v>33</v>
      </c>
      <c r="H163" s="2" t="s">
        <v>28</v>
      </c>
      <c r="I163" s="2" t="s">
        <v>36</v>
      </c>
      <c r="J163" s="4" t="n">
        <v>1183.41</v>
      </c>
      <c r="K163" s="2" t="n">
        <v>5</v>
      </c>
      <c r="L163" s="5" t="n">
        <v>0</v>
      </c>
      <c r="M163" s="6" t="n">
        <v>243.47</v>
      </c>
    </row>
    <row r="164" customFormat="false" ht="15" hidden="false" customHeight="false" outlineLevel="0" collapsed="false">
      <c r="A164" s="2" t="s">
        <v>226</v>
      </c>
      <c r="B164" s="3" t="n">
        <v>45944</v>
      </c>
      <c r="C164" s="3" t="n">
        <v>45949</v>
      </c>
      <c r="D164" s="2" t="s">
        <v>89</v>
      </c>
      <c r="E164" s="2" t="s">
        <v>26</v>
      </c>
      <c r="F164" s="2" t="s">
        <v>32</v>
      </c>
      <c r="G164" s="2" t="s">
        <v>39</v>
      </c>
      <c r="H164" s="2" t="s">
        <v>28</v>
      </c>
      <c r="I164" s="2" t="s">
        <v>36</v>
      </c>
      <c r="J164" s="4" t="n">
        <v>929.35</v>
      </c>
      <c r="K164" s="2" t="n">
        <v>7</v>
      </c>
      <c r="L164" s="5" t="n">
        <v>0.2</v>
      </c>
      <c r="M164" s="6" t="n">
        <v>189.4</v>
      </c>
    </row>
    <row r="165" customFormat="false" ht="15" hidden="false" customHeight="false" outlineLevel="0" collapsed="false">
      <c r="A165" s="2" t="s">
        <v>227</v>
      </c>
      <c r="B165" s="3" t="n">
        <v>45945</v>
      </c>
      <c r="C165" s="3" t="n">
        <v>45948</v>
      </c>
      <c r="D165" s="2" t="s">
        <v>91</v>
      </c>
      <c r="E165" s="2" t="s">
        <v>15</v>
      </c>
      <c r="F165" s="2" t="s">
        <v>41</v>
      </c>
      <c r="G165" s="2" t="s">
        <v>49</v>
      </c>
      <c r="H165" s="2" t="s">
        <v>18</v>
      </c>
      <c r="I165" s="2" t="s">
        <v>19</v>
      </c>
      <c r="J165" s="4" t="n">
        <v>13.78</v>
      </c>
      <c r="K165" s="2" t="n">
        <v>1</v>
      </c>
      <c r="L165" s="5" t="n">
        <v>0</v>
      </c>
      <c r="M165" s="6" t="n">
        <v>4.14</v>
      </c>
    </row>
    <row r="166" customFormat="false" ht="15" hidden="false" customHeight="false" outlineLevel="0" collapsed="false">
      <c r="A166" s="2" t="s">
        <v>228</v>
      </c>
      <c r="B166" s="3" t="n">
        <v>45947</v>
      </c>
      <c r="C166" s="3" t="n">
        <v>45954</v>
      </c>
      <c r="D166" s="2" t="s">
        <v>21</v>
      </c>
      <c r="E166" s="2" t="s">
        <v>26</v>
      </c>
      <c r="F166" s="2" t="s">
        <v>52</v>
      </c>
      <c r="G166" s="2" t="s">
        <v>61</v>
      </c>
      <c r="H166" s="2" t="s">
        <v>18</v>
      </c>
      <c r="I166" s="2" t="s">
        <v>19</v>
      </c>
      <c r="J166" s="4" t="n">
        <v>77.02</v>
      </c>
      <c r="K166" s="2" t="n">
        <v>5</v>
      </c>
      <c r="L166" s="5" t="n">
        <v>0.1</v>
      </c>
      <c r="M166" s="6" t="n">
        <v>20.38</v>
      </c>
    </row>
    <row r="167" customFormat="false" ht="15" hidden="false" customHeight="false" outlineLevel="0" collapsed="false">
      <c r="A167" s="2" t="s">
        <v>229</v>
      </c>
      <c r="B167" s="3" t="n">
        <v>45947</v>
      </c>
      <c r="C167" s="3" t="n">
        <v>45954</v>
      </c>
      <c r="D167" s="2" t="s">
        <v>38</v>
      </c>
      <c r="E167" s="2" t="s">
        <v>48</v>
      </c>
      <c r="F167" s="2" t="s">
        <v>41</v>
      </c>
      <c r="G167" s="2" t="s">
        <v>42</v>
      </c>
      <c r="H167" s="2" t="s">
        <v>28</v>
      </c>
      <c r="I167" s="2" t="s">
        <v>81</v>
      </c>
      <c r="J167" s="4" t="n">
        <v>387.68</v>
      </c>
      <c r="K167" s="2" t="n">
        <v>1</v>
      </c>
      <c r="L167" s="5" t="n">
        <v>0.2</v>
      </c>
      <c r="M167" s="6" t="n">
        <v>11.47</v>
      </c>
    </row>
    <row r="168" customFormat="false" ht="15" hidden="false" customHeight="false" outlineLevel="0" collapsed="false">
      <c r="A168" s="2" t="s">
        <v>230</v>
      </c>
      <c r="B168" s="3" t="n">
        <v>45947</v>
      </c>
      <c r="C168" s="3" t="n">
        <v>45950</v>
      </c>
      <c r="D168" s="2" t="s">
        <v>47</v>
      </c>
      <c r="E168" s="2" t="s">
        <v>48</v>
      </c>
      <c r="F168" s="2" t="s">
        <v>16</v>
      </c>
      <c r="G168" s="2" t="s">
        <v>64</v>
      </c>
      <c r="H168" s="2" t="s">
        <v>28</v>
      </c>
      <c r="I168" s="2" t="s">
        <v>29</v>
      </c>
      <c r="J168" s="4" t="n">
        <v>29.42</v>
      </c>
      <c r="K168" s="2" t="n">
        <v>1</v>
      </c>
      <c r="L168" s="5" t="n">
        <v>0</v>
      </c>
      <c r="M168" s="6" t="n">
        <v>6.6</v>
      </c>
    </row>
    <row r="169" customFormat="false" ht="15" hidden="false" customHeight="false" outlineLevel="0" collapsed="false">
      <c r="A169" s="2" t="s">
        <v>231</v>
      </c>
      <c r="B169" s="3" t="n">
        <v>45954</v>
      </c>
      <c r="C169" s="3" t="n">
        <v>45961</v>
      </c>
      <c r="D169" s="2" t="s">
        <v>91</v>
      </c>
      <c r="E169" s="2" t="s">
        <v>26</v>
      </c>
      <c r="F169" s="2" t="s">
        <v>41</v>
      </c>
      <c r="G169" s="2" t="s">
        <v>42</v>
      </c>
      <c r="H169" s="2" t="s">
        <v>28</v>
      </c>
      <c r="I169" s="2" t="s">
        <v>36</v>
      </c>
      <c r="J169" s="4" t="n">
        <v>1358.04</v>
      </c>
      <c r="K169" s="2" t="n">
        <v>8</v>
      </c>
      <c r="L169" s="5" t="n">
        <v>0</v>
      </c>
      <c r="M169" s="6" t="n">
        <v>178.95</v>
      </c>
    </row>
    <row r="170" customFormat="false" ht="15" hidden="false" customHeight="false" outlineLevel="0" collapsed="false">
      <c r="A170" s="2" t="s">
        <v>232</v>
      </c>
      <c r="B170" s="3" t="n">
        <v>45954</v>
      </c>
      <c r="C170" s="3" t="n">
        <v>45956</v>
      </c>
      <c r="D170" s="2" t="s">
        <v>14</v>
      </c>
      <c r="E170" s="2" t="s">
        <v>48</v>
      </c>
      <c r="F170" s="2" t="s">
        <v>41</v>
      </c>
      <c r="G170" s="2" t="s">
        <v>42</v>
      </c>
      <c r="H170" s="2" t="s">
        <v>28</v>
      </c>
      <c r="I170" s="2" t="s">
        <v>36</v>
      </c>
      <c r="J170" s="4" t="n">
        <v>522.67</v>
      </c>
      <c r="K170" s="2" t="n">
        <v>2</v>
      </c>
      <c r="L170" s="5" t="n">
        <v>0</v>
      </c>
      <c r="M170" s="6" t="n">
        <v>107.92</v>
      </c>
    </row>
    <row r="171" customFormat="false" ht="15" hidden="false" customHeight="false" outlineLevel="0" collapsed="false">
      <c r="A171" s="2" t="s">
        <v>233</v>
      </c>
      <c r="B171" s="3" t="n">
        <v>45955</v>
      </c>
      <c r="C171" s="3" t="n">
        <v>45962</v>
      </c>
      <c r="D171" s="2" t="s">
        <v>89</v>
      </c>
      <c r="E171" s="2" t="s">
        <v>26</v>
      </c>
      <c r="F171" s="2" t="s">
        <v>41</v>
      </c>
      <c r="G171" s="2" t="s">
        <v>49</v>
      </c>
      <c r="H171" s="2" t="s">
        <v>18</v>
      </c>
      <c r="I171" s="2" t="s">
        <v>56</v>
      </c>
      <c r="J171" s="4" t="n">
        <v>52.25</v>
      </c>
      <c r="K171" s="2" t="n">
        <v>1</v>
      </c>
      <c r="L171" s="5" t="n">
        <v>0</v>
      </c>
      <c r="M171" s="6" t="n">
        <v>8.59</v>
      </c>
    </row>
    <row r="172" customFormat="false" ht="15" hidden="false" customHeight="false" outlineLevel="0" collapsed="false">
      <c r="A172" s="2" t="s">
        <v>234</v>
      </c>
      <c r="B172" s="3" t="n">
        <v>45957</v>
      </c>
      <c r="C172" s="3" t="n">
        <v>45962</v>
      </c>
      <c r="D172" s="2" t="s">
        <v>25</v>
      </c>
      <c r="E172" s="2" t="s">
        <v>15</v>
      </c>
      <c r="F172" s="2" t="s">
        <v>32</v>
      </c>
      <c r="G172" s="2" t="s">
        <v>35</v>
      </c>
      <c r="H172" s="2" t="s">
        <v>18</v>
      </c>
      <c r="I172" s="2" t="s">
        <v>66</v>
      </c>
      <c r="J172" s="4" t="n">
        <v>38.29</v>
      </c>
      <c r="K172" s="2" t="n">
        <v>5</v>
      </c>
      <c r="L172" s="5" t="n">
        <v>0.2</v>
      </c>
      <c r="M172" s="6" t="n">
        <v>13.64</v>
      </c>
    </row>
    <row r="173" customFormat="false" ht="15" hidden="false" customHeight="false" outlineLevel="0" collapsed="false">
      <c r="A173" s="2" t="s">
        <v>235</v>
      </c>
      <c r="B173" s="3" t="n">
        <v>45957</v>
      </c>
      <c r="C173" s="3" t="n">
        <v>45962</v>
      </c>
      <c r="D173" s="2" t="s">
        <v>76</v>
      </c>
      <c r="E173" s="2" t="s">
        <v>26</v>
      </c>
      <c r="F173" s="2" t="s">
        <v>32</v>
      </c>
      <c r="G173" s="2" t="s">
        <v>39</v>
      </c>
      <c r="H173" s="2" t="s">
        <v>22</v>
      </c>
      <c r="I173" s="2" t="s">
        <v>70</v>
      </c>
      <c r="J173" s="4" t="n">
        <v>53.11</v>
      </c>
      <c r="K173" s="2" t="n">
        <v>1</v>
      </c>
      <c r="L173" s="5" t="n">
        <v>0</v>
      </c>
      <c r="M173" s="6" t="n">
        <v>10.38</v>
      </c>
    </row>
    <row r="174" customFormat="false" ht="15" hidden="false" customHeight="false" outlineLevel="0" collapsed="false">
      <c r="A174" s="2" t="s">
        <v>236</v>
      </c>
      <c r="B174" s="3" t="n">
        <v>45958</v>
      </c>
      <c r="C174" s="3" t="n">
        <v>45962</v>
      </c>
      <c r="D174" s="2" t="s">
        <v>55</v>
      </c>
      <c r="E174" s="2" t="s">
        <v>48</v>
      </c>
      <c r="F174" s="2" t="s">
        <v>32</v>
      </c>
      <c r="G174" s="2" t="s">
        <v>33</v>
      </c>
      <c r="H174" s="2" t="s">
        <v>22</v>
      </c>
      <c r="I174" s="2" t="s">
        <v>70</v>
      </c>
      <c r="J174" s="4" t="n">
        <v>352.3</v>
      </c>
      <c r="K174" s="2" t="n">
        <v>5</v>
      </c>
      <c r="L174" s="5" t="n">
        <v>0</v>
      </c>
      <c r="M174" s="6" t="n">
        <v>55.45</v>
      </c>
    </row>
    <row r="175" customFormat="false" ht="15" hidden="false" customHeight="false" outlineLevel="0" collapsed="false">
      <c r="A175" s="2" t="s">
        <v>237</v>
      </c>
      <c r="B175" s="3" t="n">
        <v>45958</v>
      </c>
      <c r="C175" s="3" t="n">
        <v>45965</v>
      </c>
      <c r="D175" s="2" t="s">
        <v>69</v>
      </c>
      <c r="E175" s="2" t="s">
        <v>15</v>
      </c>
      <c r="F175" s="2" t="s">
        <v>52</v>
      </c>
      <c r="G175" s="2" t="s">
        <v>53</v>
      </c>
      <c r="H175" s="2" t="s">
        <v>18</v>
      </c>
      <c r="I175" s="2" t="s">
        <v>58</v>
      </c>
      <c r="J175" s="4" t="n">
        <v>140.32</v>
      </c>
      <c r="K175" s="2" t="n">
        <v>6</v>
      </c>
      <c r="L175" s="5" t="n">
        <v>0.2</v>
      </c>
      <c r="M175" s="6" t="n">
        <v>13.98</v>
      </c>
    </row>
    <row r="176" customFormat="false" ht="15" hidden="false" customHeight="false" outlineLevel="0" collapsed="false">
      <c r="A176" s="2" t="s">
        <v>238</v>
      </c>
      <c r="B176" s="3" t="n">
        <v>45959</v>
      </c>
      <c r="C176" s="3" t="n">
        <v>45963</v>
      </c>
      <c r="D176" s="2" t="s">
        <v>72</v>
      </c>
      <c r="E176" s="2" t="s">
        <v>26</v>
      </c>
      <c r="F176" s="2" t="s">
        <v>16</v>
      </c>
      <c r="G176" s="2" t="s">
        <v>27</v>
      </c>
      <c r="H176" s="2" t="s">
        <v>22</v>
      </c>
      <c r="I176" s="2" t="s">
        <v>23</v>
      </c>
      <c r="J176" s="4" t="n">
        <v>174.3</v>
      </c>
      <c r="K176" s="2" t="n">
        <v>1</v>
      </c>
      <c r="L176" s="5" t="n">
        <v>0</v>
      </c>
      <c r="M176" s="6" t="n">
        <v>10.28</v>
      </c>
    </row>
    <row r="177" customFormat="false" ht="15" hidden="false" customHeight="false" outlineLevel="0" collapsed="false">
      <c r="A177" s="2" t="s">
        <v>239</v>
      </c>
      <c r="B177" s="3" t="n">
        <v>45959</v>
      </c>
      <c r="C177" s="3" t="n">
        <v>45964</v>
      </c>
      <c r="D177" s="2" t="s">
        <v>101</v>
      </c>
      <c r="E177" s="2" t="s">
        <v>26</v>
      </c>
      <c r="F177" s="2" t="s">
        <v>52</v>
      </c>
      <c r="G177" s="2" t="s">
        <v>106</v>
      </c>
      <c r="H177" s="2" t="s">
        <v>22</v>
      </c>
      <c r="I177" s="2" t="s">
        <v>70</v>
      </c>
      <c r="J177" s="4" t="n">
        <v>191.95</v>
      </c>
      <c r="K177" s="2" t="n">
        <v>6</v>
      </c>
      <c r="L177" s="5" t="n">
        <v>0.3</v>
      </c>
      <c r="M177" s="6" t="n">
        <v>30.82</v>
      </c>
    </row>
    <row r="178" customFormat="false" ht="15" hidden="false" customHeight="false" outlineLevel="0" collapsed="false">
      <c r="A178" s="2" t="s">
        <v>240</v>
      </c>
      <c r="B178" s="3" t="n">
        <v>45961</v>
      </c>
      <c r="C178" s="3" t="n">
        <v>45967</v>
      </c>
      <c r="D178" s="2" t="s">
        <v>69</v>
      </c>
      <c r="E178" s="2" t="s">
        <v>26</v>
      </c>
      <c r="F178" s="2" t="s">
        <v>16</v>
      </c>
      <c r="G178" s="2" t="s">
        <v>17</v>
      </c>
      <c r="H178" s="2" t="s">
        <v>22</v>
      </c>
      <c r="I178" s="2" t="s">
        <v>43</v>
      </c>
      <c r="J178" s="4" t="n">
        <v>870.2</v>
      </c>
      <c r="K178" s="2" t="n">
        <v>3</v>
      </c>
      <c r="L178" s="5" t="n">
        <v>0.15</v>
      </c>
      <c r="M178" s="6" t="n">
        <v>-49.3</v>
      </c>
    </row>
    <row r="179" customFormat="false" ht="15" hidden="false" customHeight="false" outlineLevel="0" collapsed="false">
      <c r="A179" s="2" t="s">
        <v>241</v>
      </c>
      <c r="B179" s="3" t="n">
        <v>45961</v>
      </c>
      <c r="C179" s="3" t="n">
        <v>45965</v>
      </c>
      <c r="D179" s="2" t="s">
        <v>101</v>
      </c>
      <c r="E179" s="2" t="s">
        <v>48</v>
      </c>
      <c r="F179" s="2" t="s">
        <v>32</v>
      </c>
      <c r="G179" s="2" t="s">
        <v>39</v>
      </c>
      <c r="H179" s="2" t="s">
        <v>28</v>
      </c>
      <c r="I179" s="2" t="s">
        <v>81</v>
      </c>
      <c r="J179" s="4" t="n">
        <v>870.25</v>
      </c>
      <c r="K179" s="2" t="n">
        <v>3</v>
      </c>
      <c r="L179" s="5" t="n">
        <v>0.15</v>
      </c>
      <c r="M179" s="6" t="n">
        <v>55.64</v>
      </c>
    </row>
    <row r="180" customFormat="false" ht="15" hidden="false" customHeight="false" outlineLevel="0" collapsed="false">
      <c r="A180" s="2" t="s">
        <v>242</v>
      </c>
      <c r="B180" s="3" t="n">
        <v>45963</v>
      </c>
      <c r="C180" s="3" t="n">
        <v>45970</v>
      </c>
      <c r="D180" s="2" t="s">
        <v>31</v>
      </c>
      <c r="E180" s="2" t="s">
        <v>15</v>
      </c>
      <c r="F180" s="2" t="s">
        <v>52</v>
      </c>
      <c r="G180" s="2" t="s">
        <v>53</v>
      </c>
      <c r="H180" s="2" t="s">
        <v>18</v>
      </c>
      <c r="I180" s="2" t="s">
        <v>66</v>
      </c>
      <c r="J180" s="4" t="n">
        <v>53.2</v>
      </c>
      <c r="K180" s="2" t="n">
        <v>4</v>
      </c>
      <c r="L180" s="5" t="n">
        <v>0</v>
      </c>
      <c r="M180" s="6" t="n">
        <v>16.23</v>
      </c>
    </row>
    <row r="181" customFormat="false" ht="15" hidden="false" customHeight="false" outlineLevel="0" collapsed="false">
      <c r="A181" s="2" t="s">
        <v>243</v>
      </c>
      <c r="B181" s="3" t="n">
        <v>45964</v>
      </c>
      <c r="C181" s="3" t="n">
        <v>45968</v>
      </c>
      <c r="D181" s="2" t="s">
        <v>31</v>
      </c>
      <c r="E181" s="2" t="s">
        <v>26</v>
      </c>
      <c r="F181" s="2" t="s">
        <v>41</v>
      </c>
      <c r="G181" s="2" t="s">
        <v>49</v>
      </c>
      <c r="H181" s="2" t="s">
        <v>18</v>
      </c>
      <c r="I181" s="2" t="s">
        <v>66</v>
      </c>
      <c r="J181" s="4" t="n">
        <v>34.62</v>
      </c>
      <c r="K181" s="2" t="n">
        <v>3</v>
      </c>
      <c r="L181" s="5" t="n">
        <v>0</v>
      </c>
      <c r="M181" s="6" t="n">
        <v>12.25</v>
      </c>
    </row>
    <row r="182" customFormat="false" ht="15" hidden="false" customHeight="false" outlineLevel="0" collapsed="false">
      <c r="A182" s="2" t="s">
        <v>244</v>
      </c>
      <c r="B182" s="3" t="n">
        <v>45966</v>
      </c>
      <c r="C182" s="3" t="n">
        <v>45969</v>
      </c>
      <c r="D182" s="2" t="s">
        <v>47</v>
      </c>
      <c r="E182" s="2" t="s">
        <v>26</v>
      </c>
      <c r="F182" s="2" t="s">
        <v>16</v>
      </c>
      <c r="G182" s="2" t="s">
        <v>17</v>
      </c>
      <c r="H182" s="2" t="s">
        <v>28</v>
      </c>
      <c r="I182" s="2" t="s">
        <v>36</v>
      </c>
      <c r="J182" s="4" t="n">
        <v>545.19</v>
      </c>
      <c r="K182" s="2" t="n">
        <v>3</v>
      </c>
      <c r="L182" s="5" t="n">
        <v>0</v>
      </c>
      <c r="M182" s="6" t="n">
        <v>73.93</v>
      </c>
    </row>
    <row r="183" customFormat="false" ht="15" hidden="false" customHeight="false" outlineLevel="0" collapsed="false">
      <c r="A183" s="2" t="s">
        <v>245</v>
      </c>
      <c r="B183" s="3" t="n">
        <v>45966</v>
      </c>
      <c r="C183" s="3" t="n">
        <v>45972</v>
      </c>
      <c r="D183" s="2" t="s">
        <v>25</v>
      </c>
      <c r="E183" s="2" t="s">
        <v>48</v>
      </c>
      <c r="F183" s="2" t="s">
        <v>16</v>
      </c>
      <c r="G183" s="2" t="s">
        <v>64</v>
      </c>
      <c r="H183" s="2" t="s">
        <v>18</v>
      </c>
      <c r="I183" s="2" t="s">
        <v>56</v>
      </c>
      <c r="J183" s="4" t="n">
        <v>359.86</v>
      </c>
      <c r="K183" s="2" t="n">
        <v>6</v>
      </c>
      <c r="L183" s="5" t="n">
        <v>0</v>
      </c>
      <c r="M183" s="6" t="n">
        <v>73.95</v>
      </c>
    </row>
    <row r="184" customFormat="false" ht="15" hidden="false" customHeight="false" outlineLevel="0" collapsed="false">
      <c r="A184" s="2" t="s">
        <v>246</v>
      </c>
      <c r="B184" s="3" t="n">
        <v>45968</v>
      </c>
      <c r="C184" s="3" t="n">
        <v>45971</v>
      </c>
      <c r="D184" s="2" t="s">
        <v>89</v>
      </c>
      <c r="E184" s="2" t="s">
        <v>48</v>
      </c>
      <c r="F184" s="2" t="s">
        <v>32</v>
      </c>
      <c r="G184" s="2" t="s">
        <v>33</v>
      </c>
      <c r="H184" s="2" t="s">
        <v>22</v>
      </c>
      <c r="I184" s="2" t="s">
        <v>23</v>
      </c>
      <c r="J184" s="4" t="n">
        <v>598.59</v>
      </c>
      <c r="K184" s="2" t="n">
        <v>3</v>
      </c>
      <c r="L184" s="5" t="n">
        <v>0.1</v>
      </c>
      <c r="M184" s="6" t="n">
        <v>15.83</v>
      </c>
    </row>
    <row r="185" customFormat="false" ht="15" hidden="false" customHeight="false" outlineLevel="0" collapsed="false">
      <c r="A185" s="2" t="s">
        <v>247</v>
      </c>
      <c r="B185" s="3" t="n">
        <v>45969</v>
      </c>
      <c r="C185" s="3" t="n">
        <v>45976</v>
      </c>
      <c r="D185" s="2" t="s">
        <v>60</v>
      </c>
      <c r="E185" s="2" t="s">
        <v>26</v>
      </c>
      <c r="F185" s="2" t="s">
        <v>41</v>
      </c>
      <c r="G185" s="2" t="s">
        <v>49</v>
      </c>
      <c r="H185" s="2" t="s">
        <v>22</v>
      </c>
      <c r="I185" s="2" t="s">
        <v>43</v>
      </c>
      <c r="J185" s="4" t="n">
        <v>1062.65</v>
      </c>
      <c r="K185" s="2" t="n">
        <v>4</v>
      </c>
      <c r="L185" s="5" t="n">
        <v>0.3</v>
      </c>
      <c r="M185" s="6" t="n">
        <v>-57.28</v>
      </c>
    </row>
    <row r="186" customFormat="false" ht="15" hidden="false" customHeight="false" outlineLevel="0" collapsed="false">
      <c r="A186" s="2" t="s">
        <v>248</v>
      </c>
      <c r="B186" s="3" t="n">
        <v>45971</v>
      </c>
      <c r="C186" s="3" t="n">
        <v>45973</v>
      </c>
      <c r="D186" s="2" t="s">
        <v>47</v>
      </c>
      <c r="E186" s="2" t="s">
        <v>15</v>
      </c>
      <c r="F186" s="2" t="s">
        <v>16</v>
      </c>
      <c r="G186" s="2" t="s">
        <v>27</v>
      </c>
      <c r="H186" s="2" t="s">
        <v>22</v>
      </c>
      <c r="I186" s="2" t="s">
        <v>70</v>
      </c>
      <c r="J186" s="4" t="n">
        <v>48.58</v>
      </c>
      <c r="K186" s="2" t="n">
        <v>1</v>
      </c>
      <c r="L186" s="5" t="n">
        <v>0.15</v>
      </c>
      <c r="M186" s="6" t="n">
        <v>9.08</v>
      </c>
    </row>
    <row r="187" customFormat="false" ht="15" hidden="false" customHeight="false" outlineLevel="0" collapsed="false">
      <c r="A187" s="2" t="s">
        <v>249</v>
      </c>
      <c r="B187" s="3" t="n">
        <v>45973</v>
      </c>
      <c r="C187" s="3" t="n">
        <v>45979</v>
      </c>
      <c r="D187" s="2" t="s">
        <v>31</v>
      </c>
      <c r="E187" s="2" t="s">
        <v>15</v>
      </c>
      <c r="F187" s="2" t="s">
        <v>32</v>
      </c>
      <c r="G187" s="2" t="s">
        <v>33</v>
      </c>
      <c r="H187" s="2" t="s">
        <v>18</v>
      </c>
      <c r="I187" s="2" t="s">
        <v>58</v>
      </c>
      <c r="J187" s="4" t="n">
        <v>60.29</v>
      </c>
      <c r="K187" s="2" t="n">
        <v>3</v>
      </c>
      <c r="L187" s="5" t="n">
        <v>0.2</v>
      </c>
      <c r="M187" s="6" t="n">
        <v>4.95</v>
      </c>
    </row>
    <row r="188" customFormat="false" ht="15" hidden="false" customHeight="false" outlineLevel="0" collapsed="false">
      <c r="A188" s="2" t="s">
        <v>250</v>
      </c>
      <c r="B188" s="3" t="n">
        <v>45974</v>
      </c>
      <c r="C188" s="3" t="n">
        <v>45976</v>
      </c>
      <c r="D188" s="2" t="s">
        <v>84</v>
      </c>
      <c r="E188" s="2" t="s">
        <v>48</v>
      </c>
      <c r="F188" s="2" t="s">
        <v>41</v>
      </c>
      <c r="G188" s="2" t="s">
        <v>42</v>
      </c>
      <c r="H188" s="2" t="s">
        <v>18</v>
      </c>
      <c r="I188" s="2" t="s">
        <v>58</v>
      </c>
      <c r="J188" s="4" t="n">
        <v>119.57</v>
      </c>
      <c r="K188" s="2" t="n">
        <v>6</v>
      </c>
      <c r="L188" s="5" t="n">
        <v>0.3</v>
      </c>
      <c r="M188" s="6" t="n">
        <v>9.42</v>
      </c>
    </row>
    <row r="189" customFormat="false" ht="15" hidden="false" customHeight="false" outlineLevel="0" collapsed="false">
      <c r="A189" s="2" t="s">
        <v>251</v>
      </c>
      <c r="B189" s="3" t="n">
        <v>45975</v>
      </c>
      <c r="C189" s="3" t="n">
        <v>45977</v>
      </c>
      <c r="D189" s="2" t="s">
        <v>55</v>
      </c>
      <c r="E189" s="2" t="s">
        <v>48</v>
      </c>
      <c r="F189" s="2" t="s">
        <v>41</v>
      </c>
      <c r="G189" s="2" t="s">
        <v>42</v>
      </c>
      <c r="H189" s="2" t="s">
        <v>28</v>
      </c>
      <c r="I189" s="2" t="s">
        <v>29</v>
      </c>
      <c r="J189" s="4" t="n">
        <v>133.64</v>
      </c>
      <c r="K189" s="2" t="n">
        <v>4</v>
      </c>
      <c r="L189" s="5" t="n">
        <v>0.15</v>
      </c>
      <c r="M189" s="6" t="n">
        <v>30.02</v>
      </c>
    </row>
    <row r="190" customFormat="false" ht="15" hidden="false" customHeight="false" outlineLevel="0" collapsed="false">
      <c r="A190" s="2" t="s">
        <v>252</v>
      </c>
      <c r="B190" s="3" t="n">
        <v>45975</v>
      </c>
      <c r="C190" s="3" t="n">
        <v>45979</v>
      </c>
      <c r="D190" s="2" t="s">
        <v>69</v>
      </c>
      <c r="E190" s="2" t="s">
        <v>48</v>
      </c>
      <c r="F190" s="2" t="s">
        <v>16</v>
      </c>
      <c r="G190" s="2" t="s">
        <v>64</v>
      </c>
      <c r="H190" s="2" t="s">
        <v>18</v>
      </c>
      <c r="I190" s="2" t="s">
        <v>56</v>
      </c>
      <c r="J190" s="4" t="n">
        <v>247.49</v>
      </c>
      <c r="K190" s="2" t="n">
        <v>4</v>
      </c>
      <c r="L190" s="5" t="n">
        <v>0</v>
      </c>
      <c r="M190" s="6" t="n">
        <v>37.59</v>
      </c>
    </row>
    <row r="191" customFormat="false" ht="15" hidden="false" customHeight="false" outlineLevel="0" collapsed="false">
      <c r="A191" s="2" t="s">
        <v>253</v>
      </c>
      <c r="B191" s="3" t="n">
        <v>45977</v>
      </c>
      <c r="C191" s="3" t="n">
        <v>45981</v>
      </c>
      <c r="D191" s="2" t="s">
        <v>74</v>
      </c>
      <c r="E191" s="2" t="s">
        <v>48</v>
      </c>
      <c r="F191" s="2" t="s">
        <v>32</v>
      </c>
      <c r="G191" s="2" t="s">
        <v>33</v>
      </c>
      <c r="H191" s="2" t="s">
        <v>28</v>
      </c>
      <c r="I191" s="2" t="s">
        <v>36</v>
      </c>
      <c r="J191" s="4" t="n">
        <v>802.16</v>
      </c>
      <c r="K191" s="2" t="n">
        <v>4</v>
      </c>
      <c r="L191" s="5" t="n">
        <v>0</v>
      </c>
      <c r="M191" s="6" t="n">
        <v>164.35</v>
      </c>
    </row>
    <row r="192" customFormat="false" ht="15" hidden="false" customHeight="false" outlineLevel="0" collapsed="false">
      <c r="A192" s="2" t="s">
        <v>254</v>
      </c>
      <c r="B192" s="3" t="n">
        <v>45978</v>
      </c>
      <c r="C192" s="3" t="n">
        <v>45981</v>
      </c>
      <c r="D192" s="2" t="s">
        <v>60</v>
      </c>
      <c r="E192" s="2" t="s">
        <v>15</v>
      </c>
      <c r="F192" s="2" t="s">
        <v>52</v>
      </c>
      <c r="G192" s="2" t="s">
        <v>61</v>
      </c>
      <c r="H192" s="2" t="s">
        <v>18</v>
      </c>
      <c r="I192" s="2" t="s">
        <v>56</v>
      </c>
      <c r="J192" s="4" t="n">
        <v>283.34</v>
      </c>
      <c r="K192" s="2" t="n">
        <v>4</v>
      </c>
      <c r="L192" s="5" t="n">
        <v>0</v>
      </c>
      <c r="M192" s="6" t="n">
        <v>58.53</v>
      </c>
    </row>
    <row r="193" customFormat="false" ht="15" hidden="false" customHeight="false" outlineLevel="0" collapsed="false">
      <c r="A193" s="2" t="s">
        <v>255</v>
      </c>
      <c r="B193" s="3" t="n">
        <v>45978</v>
      </c>
      <c r="C193" s="3" t="n">
        <v>45985</v>
      </c>
      <c r="D193" s="2" t="s">
        <v>55</v>
      </c>
      <c r="E193" s="2" t="s">
        <v>48</v>
      </c>
      <c r="F193" s="2" t="s">
        <v>16</v>
      </c>
      <c r="G193" s="2" t="s">
        <v>27</v>
      </c>
      <c r="H193" s="2" t="s">
        <v>22</v>
      </c>
      <c r="I193" s="2" t="s">
        <v>70</v>
      </c>
      <c r="J193" s="4" t="n">
        <v>227.61</v>
      </c>
      <c r="K193" s="2" t="n">
        <v>5</v>
      </c>
      <c r="L193" s="5" t="n">
        <v>0.15</v>
      </c>
      <c r="M193" s="6" t="n">
        <v>55.73</v>
      </c>
    </row>
    <row r="194" customFormat="false" ht="15" hidden="false" customHeight="false" outlineLevel="0" collapsed="false">
      <c r="A194" s="2" t="s">
        <v>256</v>
      </c>
      <c r="B194" s="3" t="n">
        <v>45979</v>
      </c>
      <c r="C194" s="3" t="n">
        <v>45983</v>
      </c>
      <c r="D194" s="2" t="s">
        <v>69</v>
      </c>
      <c r="E194" s="2" t="s">
        <v>15</v>
      </c>
      <c r="F194" s="2" t="s">
        <v>32</v>
      </c>
      <c r="G194" s="2" t="s">
        <v>35</v>
      </c>
      <c r="H194" s="2" t="s">
        <v>18</v>
      </c>
      <c r="I194" s="2" t="s">
        <v>58</v>
      </c>
      <c r="J194" s="4" t="n">
        <v>200.05</v>
      </c>
      <c r="K194" s="2" t="n">
        <v>8</v>
      </c>
      <c r="L194" s="5" t="n">
        <v>0.15</v>
      </c>
      <c r="M194" s="6" t="n">
        <v>18.86</v>
      </c>
    </row>
    <row r="195" customFormat="false" ht="15" hidden="false" customHeight="false" outlineLevel="0" collapsed="false">
      <c r="A195" s="2" t="s">
        <v>257</v>
      </c>
      <c r="B195" s="3" t="n">
        <v>45981</v>
      </c>
      <c r="C195" s="3" t="n">
        <v>45984</v>
      </c>
      <c r="D195" s="2" t="s">
        <v>69</v>
      </c>
      <c r="E195" s="2" t="s">
        <v>26</v>
      </c>
      <c r="F195" s="2" t="s">
        <v>52</v>
      </c>
      <c r="G195" s="2" t="s">
        <v>53</v>
      </c>
      <c r="H195" s="2" t="s">
        <v>18</v>
      </c>
      <c r="I195" s="2" t="s">
        <v>56</v>
      </c>
      <c r="J195" s="4" t="n">
        <v>169.13</v>
      </c>
      <c r="K195" s="2" t="n">
        <v>3</v>
      </c>
      <c r="L195" s="5" t="n">
        <v>0.2</v>
      </c>
      <c r="M195" s="6" t="n">
        <v>29.85</v>
      </c>
    </row>
    <row r="196" customFormat="false" ht="15" hidden="false" customHeight="false" outlineLevel="0" collapsed="false">
      <c r="A196" s="2" t="s">
        <v>258</v>
      </c>
      <c r="B196" s="3" t="n">
        <v>45983</v>
      </c>
      <c r="C196" s="3" t="n">
        <v>45988</v>
      </c>
      <c r="D196" s="2" t="s">
        <v>47</v>
      </c>
      <c r="E196" s="2" t="s">
        <v>15</v>
      </c>
      <c r="F196" s="2" t="s">
        <v>52</v>
      </c>
      <c r="G196" s="2" t="s">
        <v>106</v>
      </c>
      <c r="H196" s="2" t="s">
        <v>28</v>
      </c>
      <c r="I196" s="2" t="s">
        <v>36</v>
      </c>
      <c r="J196" s="4" t="n">
        <v>2253.3</v>
      </c>
      <c r="K196" s="2" t="n">
        <v>8</v>
      </c>
      <c r="L196" s="5" t="n">
        <v>0</v>
      </c>
      <c r="M196" s="6" t="n">
        <v>472.5</v>
      </c>
    </row>
    <row r="197" customFormat="false" ht="15" hidden="false" customHeight="false" outlineLevel="0" collapsed="false">
      <c r="A197" s="2" t="s">
        <v>259</v>
      </c>
      <c r="B197" s="3" t="n">
        <v>45984</v>
      </c>
      <c r="C197" s="3" t="n">
        <v>45989</v>
      </c>
      <c r="D197" s="2" t="s">
        <v>74</v>
      </c>
      <c r="E197" s="2" t="s">
        <v>26</v>
      </c>
      <c r="F197" s="2" t="s">
        <v>16</v>
      </c>
      <c r="G197" s="2" t="s">
        <v>17</v>
      </c>
      <c r="H197" s="2" t="s">
        <v>28</v>
      </c>
      <c r="I197" s="2" t="s">
        <v>29</v>
      </c>
      <c r="J197" s="4" t="n">
        <v>146.37</v>
      </c>
      <c r="K197" s="2" t="n">
        <v>5</v>
      </c>
      <c r="L197" s="5" t="n">
        <v>0</v>
      </c>
      <c r="M197" s="6" t="n">
        <v>37.37</v>
      </c>
    </row>
    <row r="198" customFormat="false" ht="15" hidden="false" customHeight="false" outlineLevel="0" collapsed="false">
      <c r="A198" s="2" t="s">
        <v>260</v>
      </c>
      <c r="B198" s="3" t="n">
        <v>45984</v>
      </c>
      <c r="C198" s="3" t="n">
        <v>45988</v>
      </c>
      <c r="D198" s="2" t="s">
        <v>109</v>
      </c>
      <c r="E198" s="2" t="s">
        <v>15</v>
      </c>
      <c r="F198" s="2" t="s">
        <v>52</v>
      </c>
      <c r="G198" s="2" t="s">
        <v>53</v>
      </c>
      <c r="H198" s="2" t="s">
        <v>22</v>
      </c>
      <c r="I198" s="2" t="s">
        <v>70</v>
      </c>
      <c r="J198" s="4" t="n">
        <v>213.87</v>
      </c>
      <c r="K198" s="2" t="n">
        <v>4</v>
      </c>
      <c r="L198" s="5" t="n">
        <v>0.15</v>
      </c>
      <c r="M198" s="6" t="n">
        <v>35.14</v>
      </c>
    </row>
    <row r="199" customFormat="false" ht="15" hidden="false" customHeight="false" outlineLevel="0" collapsed="false">
      <c r="A199" s="2" t="s">
        <v>261</v>
      </c>
      <c r="B199" s="3" t="n">
        <v>45986</v>
      </c>
      <c r="C199" s="3" t="n">
        <v>45993</v>
      </c>
      <c r="D199" s="2" t="s">
        <v>31</v>
      </c>
      <c r="E199" s="2" t="s">
        <v>15</v>
      </c>
      <c r="F199" s="2" t="s">
        <v>52</v>
      </c>
      <c r="G199" s="2" t="s">
        <v>61</v>
      </c>
      <c r="H199" s="2" t="s">
        <v>18</v>
      </c>
      <c r="I199" s="2" t="s">
        <v>66</v>
      </c>
      <c r="J199" s="4" t="n">
        <v>83.36</v>
      </c>
      <c r="K199" s="2" t="n">
        <v>8</v>
      </c>
      <c r="L199" s="5" t="n">
        <v>0.2</v>
      </c>
      <c r="M199" s="6" t="n">
        <v>27.82</v>
      </c>
    </row>
    <row r="200" customFormat="false" ht="15" hidden="false" customHeight="false" outlineLevel="0" collapsed="false">
      <c r="A200" s="2" t="s">
        <v>262</v>
      </c>
      <c r="B200" s="3" t="n">
        <v>45989</v>
      </c>
      <c r="C200" s="3" t="n">
        <v>45991</v>
      </c>
      <c r="D200" s="2" t="s">
        <v>109</v>
      </c>
      <c r="E200" s="2" t="s">
        <v>48</v>
      </c>
      <c r="F200" s="2" t="s">
        <v>16</v>
      </c>
      <c r="G200" s="2" t="s">
        <v>27</v>
      </c>
      <c r="H200" s="2" t="s">
        <v>22</v>
      </c>
      <c r="I200" s="2" t="s">
        <v>70</v>
      </c>
      <c r="J200" s="4" t="n">
        <v>57.82</v>
      </c>
      <c r="K200" s="2" t="n">
        <v>1</v>
      </c>
      <c r="L200" s="5" t="n">
        <v>0.15</v>
      </c>
      <c r="M200" s="6" t="n">
        <v>10.57</v>
      </c>
    </row>
    <row r="201" customFormat="false" ht="15" hidden="false" customHeight="false" outlineLevel="0" collapsed="false">
      <c r="A201" s="2" t="s">
        <v>263</v>
      </c>
      <c r="B201" s="3" t="n">
        <v>45989</v>
      </c>
      <c r="C201" s="3" t="n">
        <v>45993</v>
      </c>
      <c r="D201" s="2" t="s">
        <v>21</v>
      </c>
      <c r="E201" s="2" t="s">
        <v>26</v>
      </c>
      <c r="F201" s="2" t="s">
        <v>52</v>
      </c>
      <c r="G201" s="2" t="s">
        <v>53</v>
      </c>
      <c r="H201" s="2" t="s">
        <v>22</v>
      </c>
      <c r="I201" s="2" t="s">
        <v>70</v>
      </c>
      <c r="J201" s="4" t="n">
        <v>250.49</v>
      </c>
      <c r="K201" s="2" t="n">
        <v>5</v>
      </c>
      <c r="L201" s="5" t="n">
        <v>0</v>
      </c>
      <c r="M201" s="6" t="n">
        <v>45.86</v>
      </c>
    </row>
    <row r="202" customFormat="false" ht="15" hidden="false" customHeight="false" outlineLevel="0" collapsed="false">
      <c r="A202" s="2" t="s">
        <v>264</v>
      </c>
      <c r="B202" s="3" t="n">
        <v>45993</v>
      </c>
      <c r="C202" s="3" t="n">
        <v>46000</v>
      </c>
      <c r="D202" s="2" t="s">
        <v>91</v>
      </c>
      <c r="E202" s="2" t="s">
        <v>48</v>
      </c>
      <c r="F202" s="2" t="s">
        <v>41</v>
      </c>
      <c r="G202" s="2" t="s">
        <v>49</v>
      </c>
      <c r="H202" s="2" t="s">
        <v>18</v>
      </c>
      <c r="I202" s="2" t="s">
        <v>56</v>
      </c>
      <c r="J202" s="4" t="n">
        <v>417.34</v>
      </c>
      <c r="K202" s="2" t="n">
        <v>8</v>
      </c>
      <c r="L202" s="5" t="n">
        <v>0.1</v>
      </c>
      <c r="M202" s="6" t="n">
        <v>58.39</v>
      </c>
    </row>
    <row r="203" customFormat="false" ht="15" hidden="false" customHeight="false" outlineLevel="0" collapsed="false">
      <c r="A203" s="2" t="s">
        <v>265</v>
      </c>
      <c r="B203" s="3" t="n">
        <v>45993</v>
      </c>
      <c r="C203" s="3" t="n">
        <v>45997</v>
      </c>
      <c r="D203" s="2" t="s">
        <v>60</v>
      </c>
      <c r="E203" s="2" t="s">
        <v>26</v>
      </c>
      <c r="F203" s="2" t="s">
        <v>41</v>
      </c>
      <c r="G203" s="2" t="s">
        <v>79</v>
      </c>
      <c r="H203" s="2" t="s">
        <v>18</v>
      </c>
      <c r="I203" s="2" t="s">
        <v>56</v>
      </c>
      <c r="J203" s="4" t="n">
        <v>67.5</v>
      </c>
      <c r="K203" s="2" t="n">
        <v>1</v>
      </c>
      <c r="L203" s="5" t="n">
        <v>0</v>
      </c>
      <c r="M203" s="6" t="n">
        <v>10.71</v>
      </c>
    </row>
    <row r="204" customFormat="false" ht="15" hidden="false" customHeight="false" outlineLevel="0" collapsed="false">
      <c r="A204" s="2" t="s">
        <v>266</v>
      </c>
      <c r="B204" s="3" t="n">
        <v>45993</v>
      </c>
      <c r="C204" s="3" t="n">
        <v>45997</v>
      </c>
      <c r="D204" s="2" t="s">
        <v>31</v>
      </c>
      <c r="E204" s="2" t="s">
        <v>26</v>
      </c>
      <c r="F204" s="2" t="s">
        <v>52</v>
      </c>
      <c r="G204" s="2" t="s">
        <v>61</v>
      </c>
      <c r="H204" s="2" t="s">
        <v>18</v>
      </c>
      <c r="I204" s="2" t="s">
        <v>66</v>
      </c>
      <c r="J204" s="4" t="n">
        <v>35.01</v>
      </c>
      <c r="K204" s="2" t="n">
        <v>5</v>
      </c>
      <c r="L204" s="5" t="n">
        <v>0.2</v>
      </c>
      <c r="M204" s="6" t="n">
        <v>10.78</v>
      </c>
    </row>
    <row r="205" customFormat="false" ht="15" hidden="false" customHeight="false" outlineLevel="0" collapsed="false">
      <c r="A205" s="2" t="s">
        <v>267</v>
      </c>
      <c r="B205" s="3" t="n">
        <v>45996</v>
      </c>
      <c r="C205" s="3" t="n">
        <v>45998</v>
      </c>
      <c r="D205" s="2" t="s">
        <v>21</v>
      </c>
      <c r="E205" s="2" t="s">
        <v>26</v>
      </c>
      <c r="F205" s="2" t="s">
        <v>32</v>
      </c>
      <c r="G205" s="2" t="s">
        <v>35</v>
      </c>
      <c r="H205" s="2" t="s">
        <v>28</v>
      </c>
      <c r="I205" s="2" t="s">
        <v>29</v>
      </c>
      <c r="J205" s="4" t="n">
        <v>109.07</v>
      </c>
      <c r="K205" s="2" t="n">
        <v>2</v>
      </c>
      <c r="L205" s="5" t="n">
        <v>0</v>
      </c>
      <c r="M205" s="6" t="n">
        <v>28.64</v>
      </c>
    </row>
    <row r="206" customFormat="false" ht="15" hidden="false" customHeight="false" outlineLevel="0" collapsed="false">
      <c r="A206" s="2" t="s">
        <v>268</v>
      </c>
      <c r="B206" s="3" t="n">
        <v>45999</v>
      </c>
      <c r="C206" s="3" t="n">
        <v>46003</v>
      </c>
      <c r="D206" s="2" t="s">
        <v>47</v>
      </c>
      <c r="E206" s="2" t="s">
        <v>48</v>
      </c>
      <c r="F206" s="2" t="s">
        <v>32</v>
      </c>
      <c r="G206" s="2" t="s">
        <v>39</v>
      </c>
      <c r="H206" s="2" t="s">
        <v>22</v>
      </c>
      <c r="I206" s="2" t="s">
        <v>70</v>
      </c>
      <c r="J206" s="4" t="n">
        <v>215.31</v>
      </c>
      <c r="K206" s="2" t="n">
        <v>3</v>
      </c>
      <c r="L206" s="5" t="n">
        <v>0.1</v>
      </c>
      <c r="M206" s="6" t="n">
        <v>53.77</v>
      </c>
    </row>
    <row r="207" customFormat="false" ht="15" hidden="false" customHeight="false" outlineLevel="0" collapsed="false">
      <c r="A207" s="2" t="s">
        <v>269</v>
      </c>
      <c r="B207" s="3" t="n">
        <v>46001</v>
      </c>
      <c r="C207" s="3" t="n">
        <v>46008</v>
      </c>
      <c r="D207" s="2" t="s">
        <v>25</v>
      </c>
      <c r="E207" s="2" t="s">
        <v>15</v>
      </c>
      <c r="F207" s="2" t="s">
        <v>41</v>
      </c>
      <c r="G207" s="2" t="s">
        <v>42</v>
      </c>
      <c r="H207" s="2" t="s">
        <v>28</v>
      </c>
      <c r="I207" s="2" t="s">
        <v>81</v>
      </c>
      <c r="J207" s="4" t="n">
        <v>1405.84</v>
      </c>
      <c r="K207" s="2" t="n">
        <v>5</v>
      </c>
      <c r="L207" s="5" t="n">
        <v>0.3</v>
      </c>
      <c r="M207" s="6" t="n">
        <v>119.2</v>
      </c>
    </row>
    <row r="208" customFormat="false" ht="15" hidden="false" customHeight="false" outlineLevel="0" collapsed="false">
      <c r="A208" s="2" t="s">
        <v>270</v>
      </c>
      <c r="B208" s="3" t="n">
        <v>46002</v>
      </c>
      <c r="C208" s="3" t="n">
        <v>46009</v>
      </c>
      <c r="D208" s="2" t="s">
        <v>74</v>
      </c>
      <c r="E208" s="2" t="s">
        <v>26</v>
      </c>
      <c r="F208" s="2" t="s">
        <v>41</v>
      </c>
      <c r="G208" s="2" t="s">
        <v>79</v>
      </c>
      <c r="H208" s="2" t="s">
        <v>22</v>
      </c>
      <c r="I208" s="2" t="s">
        <v>70</v>
      </c>
      <c r="J208" s="4" t="n">
        <v>322.87</v>
      </c>
      <c r="K208" s="2" t="n">
        <v>6</v>
      </c>
      <c r="L208" s="5" t="n">
        <v>0.1</v>
      </c>
      <c r="M208" s="6" t="n">
        <v>76.32</v>
      </c>
    </row>
    <row r="209" customFormat="false" ht="15" hidden="false" customHeight="false" outlineLevel="0" collapsed="false">
      <c r="A209" s="2" t="s">
        <v>271</v>
      </c>
      <c r="B209" s="3" t="n">
        <v>46002</v>
      </c>
      <c r="C209" s="3" t="n">
        <v>46006</v>
      </c>
      <c r="D209" s="2" t="s">
        <v>38</v>
      </c>
      <c r="E209" s="2" t="s">
        <v>26</v>
      </c>
      <c r="F209" s="2" t="s">
        <v>41</v>
      </c>
      <c r="G209" s="2" t="s">
        <v>79</v>
      </c>
      <c r="H209" s="2" t="s">
        <v>22</v>
      </c>
      <c r="I209" s="2" t="s">
        <v>23</v>
      </c>
      <c r="J209" s="4" t="n">
        <v>845.98</v>
      </c>
      <c r="K209" s="2" t="n">
        <v>4</v>
      </c>
      <c r="L209" s="5" t="n">
        <v>0.3</v>
      </c>
      <c r="M209" s="6" t="n">
        <v>55.88</v>
      </c>
    </row>
    <row r="210" customFormat="false" ht="15" hidden="false" customHeight="false" outlineLevel="0" collapsed="false">
      <c r="A210" s="2" t="s">
        <v>272</v>
      </c>
      <c r="B210" s="3" t="n">
        <v>46004</v>
      </c>
      <c r="C210" s="3" t="n">
        <v>46011</v>
      </c>
      <c r="D210" s="2" t="s">
        <v>91</v>
      </c>
      <c r="E210" s="2" t="s">
        <v>26</v>
      </c>
      <c r="F210" s="2" t="s">
        <v>41</v>
      </c>
      <c r="G210" s="2" t="s">
        <v>42</v>
      </c>
      <c r="H210" s="2" t="s">
        <v>28</v>
      </c>
      <c r="I210" s="2" t="s">
        <v>29</v>
      </c>
      <c r="J210" s="4" t="n">
        <v>48.76</v>
      </c>
      <c r="K210" s="2" t="n">
        <v>1</v>
      </c>
      <c r="L210" s="5" t="n">
        <v>0</v>
      </c>
      <c r="M210" s="6" t="n">
        <v>10.84</v>
      </c>
    </row>
    <row r="211" customFormat="false" ht="15" hidden="false" customHeight="false" outlineLevel="0" collapsed="false">
      <c r="A211" s="2" t="s">
        <v>273</v>
      </c>
      <c r="B211" s="3" t="n">
        <v>46006</v>
      </c>
      <c r="C211" s="3" t="n">
        <v>46011</v>
      </c>
      <c r="D211" s="2" t="s">
        <v>47</v>
      </c>
      <c r="E211" s="2" t="s">
        <v>15</v>
      </c>
      <c r="F211" s="2" t="s">
        <v>16</v>
      </c>
      <c r="G211" s="2" t="s">
        <v>27</v>
      </c>
      <c r="H211" s="2" t="s">
        <v>22</v>
      </c>
      <c r="I211" s="2" t="s">
        <v>70</v>
      </c>
      <c r="J211" s="4" t="n">
        <v>103.24</v>
      </c>
      <c r="K211" s="2" t="n">
        <v>2</v>
      </c>
      <c r="L211" s="5" t="n">
        <v>0.3</v>
      </c>
      <c r="M211" s="6" t="n">
        <v>16.62</v>
      </c>
    </row>
    <row r="212" customFormat="false" ht="15" hidden="false" customHeight="false" outlineLevel="0" collapsed="false">
      <c r="A212" s="2" t="s">
        <v>274</v>
      </c>
      <c r="B212" s="3" t="n">
        <v>46006</v>
      </c>
      <c r="C212" s="3" t="n">
        <v>46013</v>
      </c>
      <c r="D212" s="2" t="s">
        <v>74</v>
      </c>
      <c r="E212" s="2" t="s">
        <v>48</v>
      </c>
      <c r="F212" s="2" t="s">
        <v>41</v>
      </c>
      <c r="G212" s="2" t="s">
        <v>42</v>
      </c>
      <c r="H212" s="2" t="s">
        <v>28</v>
      </c>
      <c r="I212" s="2" t="s">
        <v>81</v>
      </c>
      <c r="J212" s="4" t="n">
        <v>2345.46</v>
      </c>
      <c r="K212" s="2" t="n">
        <v>9</v>
      </c>
      <c r="L212" s="5" t="n">
        <v>0.15</v>
      </c>
      <c r="M212" s="6" t="n">
        <v>178.44</v>
      </c>
    </row>
    <row r="213" customFormat="false" ht="15" hidden="false" customHeight="false" outlineLevel="0" collapsed="false">
      <c r="A213" s="2" t="s">
        <v>275</v>
      </c>
      <c r="B213" s="3" t="n">
        <v>46008</v>
      </c>
      <c r="C213" s="3" t="n">
        <v>46012</v>
      </c>
      <c r="D213" s="2" t="s">
        <v>38</v>
      </c>
      <c r="E213" s="2" t="s">
        <v>26</v>
      </c>
      <c r="F213" s="2" t="s">
        <v>16</v>
      </c>
      <c r="G213" s="2" t="s">
        <v>64</v>
      </c>
      <c r="H213" s="2" t="s">
        <v>22</v>
      </c>
      <c r="I213" s="2" t="s">
        <v>50</v>
      </c>
      <c r="J213" s="4" t="n">
        <v>491.32</v>
      </c>
      <c r="K213" s="2" t="n">
        <v>3</v>
      </c>
      <c r="L213" s="5" t="n">
        <v>0</v>
      </c>
      <c r="M213" s="6" t="n">
        <v>97.75</v>
      </c>
    </row>
    <row r="214" customFormat="false" ht="15" hidden="false" customHeight="false" outlineLevel="0" collapsed="false">
      <c r="A214" s="2" t="s">
        <v>276</v>
      </c>
      <c r="B214" s="3" t="n">
        <v>46011</v>
      </c>
      <c r="C214" s="3" t="n">
        <v>46013</v>
      </c>
      <c r="D214" s="2" t="s">
        <v>14</v>
      </c>
      <c r="E214" s="2" t="s">
        <v>15</v>
      </c>
      <c r="F214" s="2" t="s">
        <v>32</v>
      </c>
      <c r="G214" s="2" t="s">
        <v>39</v>
      </c>
      <c r="H214" s="2" t="s">
        <v>18</v>
      </c>
      <c r="I214" s="2" t="s">
        <v>56</v>
      </c>
      <c r="J214" s="4" t="n">
        <v>137.98</v>
      </c>
      <c r="K214" s="2" t="n">
        <v>3</v>
      </c>
      <c r="L214" s="5" t="n">
        <v>0.15</v>
      </c>
      <c r="M214" s="6" t="n">
        <v>30.67</v>
      </c>
    </row>
    <row r="215" customFormat="false" ht="15" hidden="false" customHeight="false" outlineLevel="0" collapsed="false">
      <c r="A215" s="2" t="s">
        <v>277</v>
      </c>
      <c r="B215" s="3" t="n">
        <v>46012</v>
      </c>
      <c r="C215" s="3" t="n">
        <v>46015</v>
      </c>
      <c r="D215" s="2" t="s">
        <v>38</v>
      </c>
      <c r="E215" s="2" t="s">
        <v>48</v>
      </c>
      <c r="F215" s="2" t="s">
        <v>32</v>
      </c>
      <c r="G215" s="2" t="s">
        <v>35</v>
      </c>
      <c r="H215" s="2" t="s">
        <v>18</v>
      </c>
      <c r="I215" s="2" t="s">
        <v>56</v>
      </c>
      <c r="J215" s="4" t="n">
        <v>258.93</v>
      </c>
      <c r="K215" s="2" t="n">
        <v>5</v>
      </c>
      <c r="L215" s="5" t="n">
        <v>0.15</v>
      </c>
      <c r="M215" s="6" t="n">
        <v>33.96</v>
      </c>
    </row>
    <row r="216" customFormat="false" ht="15" hidden="false" customHeight="false" outlineLevel="0" collapsed="false">
      <c r="A216" s="2" t="s">
        <v>278</v>
      </c>
      <c r="B216" s="3" t="n">
        <v>46013</v>
      </c>
      <c r="C216" s="3" t="n">
        <v>46018</v>
      </c>
      <c r="D216" s="2" t="s">
        <v>14</v>
      </c>
      <c r="E216" s="2" t="s">
        <v>48</v>
      </c>
      <c r="F216" s="2" t="s">
        <v>52</v>
      </c>
      <c r="G216" s="2" t="s">
        <v>106</v>
      </c>
      <c r="H216" s="2" t="s">
        <v>18</v>
      </c>
      <c r="I216" s="2" t="s">
        <v>56</v>
      </c>
      <c r="J216" s="4" t="n">
        <v>270.06</v>
      </c>
      <c r="K216" s="2" t="n">
        <v>6</v>
      </c>
      <c r="L216" s="5" t="n">
        <v>0.3</v>
      </c>
      <c r="M216" s="6" t="n">
        <v>39.45</v>
      </c>
    </row>
    <row r="217" customFormat="false" ht="15" hidden="false" customHeight="false" outlineLevel="0" collapsed="false">
      <c r="A217" s="2" t="s">
        <v>279</v>
      </c>
      <c r="B217" s="3" t="n">
        <v>46013</v>
      </c>
      <c r="C217" s="3" t="n">
        <v>46018</v>
      </c>
      <c r="D217" s="2" t="s">
        <v>45</v>
      </c>
      <c r="E217" s="2" t="s">
        <v>26</v>
      </c>
      <c r="F217" s="2" t="s">
        <v>32</v>
      </c>
      <c r="G217" s="2" t="s">
        <v>35</v>
      </c>
      <c r="H217" s="2" t="s">
        <v>18</v>
      </c>
      <c r="I217" s="2" t="s">
        <v>19</v>
      </c>
      <c r="J217" s="4" t="n">
        <v>89.46</v>
      </c>
      <c r="K217" s="2" t="n">
        <v>5</v>
      </c>
      <c r="L217" s="5" t="n">
        <v>0.2</v>
      </c>
      <c r="M217" s="6" t="n">
        <v>26.36</v>
      </c>
    </row>
    <row r="218" customFormat="false" ht="15" hidden="false" customHeight="false" outlineLevel="0" collapsed="false">
      <c r="A218" s="2" t="s">
        <v>280</v>
      </c>
      <c r="B218" s="3" t="n">
        <v>46017</v>
      </c>
      <c r="C218" s="3" t="n">
        <v>46024</v>
      </c>
      <c r="D218" s="2" t="s">
        <v>47</v>
      </c>
      <c r="E218" s="2" t="s">
        <v>48</v>
      </c>
      <c r="F218" s="2" t="s">
        <v>32</v>
      </c>
      <c r="G218" s="2" t="s">
        <v>39</v>
      </c>
      <c r="H218" s="2" t="s">
        <v>18</v>
      </c>
      <c r="I218" s="2" t="s">
        <v>58</v>
      </c>
      <c r="J218" s="4" t="n">
        <v>122.08</v>
      </c>
      <c r="K218" s="2" t="n">
        <v>6</v>
      </c>
      <c r="L218" s="5" t="n">
        <v>0</v>
      </c>
      <c r="M218" s="6" t="n">
        <v>6.22</v>
      </c>
    </row>
    <row r="219" customFormat="false" ht="15" hidden="false" customHeight="false" outlineLevel="0" collapsed="false">
      <c r="A219" s="2" t="s">
        <v>281</v>
      </c>
      <c r="B219" s="3" t="n">
        <v>46019</v>
      </c>
      <c r="C219" s="3" t="n">
        <v>46024</v>
      </c>
      <c r="D219" s="2" t="s">
        <v>25</v>
      </c>
      <c r="E219" s="2" t="s">
        <v>48</v>
      </c>
      <c r="F219" s="2" t="s">
        <v>52</v>
      </c>
      <c r="G219" s="2" t="s">
        <v>53</v>
      </c>
      <c r="H219" s="2" t="s">
        <v>28</v>
      </c>
      <c r="I219" s="2" t="s">
        <v>81</v>
      </c>
      <c r="J219" s="4" t="n">
        <v>1637</v>
      </c>
      <c r="K219" s="2" t="n">
        <v>4</v>
      </c>
      <c r="L219" s="5" t="n">
        <v>0.1</v>
      </c>
      <c r="M219" s="6" t="n">
        <v>-9.22</v>
      </c>
    </row>
    <row r="220" customFormat="false" ht="15" hidden="false" customHeight="false" outlineLevel="0" collapsed="false">
      <c r="A220" s="2" t="s">
        <v>282</v>
      </c>
      <c r="B220" s="3" t="n">
        <v>46020</v>
      </c>
      <c r="C220" s="3" t="n">
        <v>46025</v>
      </c>
      <c r="D220" s="2" t="s">
        <v>72</v>
      </c>
      <c r="E220" s="2" t="s">
        <v>48</v>
      </c>
      <c r="F220" s="2" t="s">
        <v>41</v>
      </c>
      <c r="G220" s="2" t="s">
        <v>42</v>
      </c>
      <c r="H220" s="2" t="s">
        <v>18</v>
      </c>
      <c r="I220" s="2" t="s">
        <v>58</v>
      </c>
      <c r="J220" s="4" t="n">
        <v>149.36</v>
      </c>
      <c r="K220" s="2" t="n">
        <v>9</v>
      </c>
      <c r="L220" s="5" t="n">
        <v>0.15</v>
      </c>
      <c r="M220" s="6" t="n">
        <v>7.32</v>
      </c>
    </row>
    <row r="221" customFormat="false" ht="15" hidden="false" customHeight="false" outlineLevel="0" collapsed="false">
      <c r="A221" s="2" t="s">
        <v>283</v>
      </c>
      <c r="B221" s="3" t="n">
        <v>46021</v>
      </c>
      <c r="C221" s="3" t="n">
        <v>46024</v>
      </c>
      <c r="D221" s="2" t="s">
        <v>14</v>
      </c>
      <c r="E221" s="2" t="s">
        <v>48</v>
      </c>
      <c r="F221" s="2" t="s">
        <v>16</v>
      </c>
      <c r="G221" s="2" t="s">
        <v>64</v>
      </c>
      <c r="H221" s="2" t="s">
        <v>18</v>
      </c>
      <c r="I221" s="2" t="s">
        <v>58</v>
      </c>
      <c r="J221" s="4" t="n">
        <v>125.6</v>
      </c>
      <c r="K221" s="2" t="n">
        <v>8</v>
      </c>
      <c r="L221" s="5" t="n">
        <v>0.2</v>
      </c>
      <c r="M221" s="6" t="n">
        <v>11.42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6"/>
  </cols>
  <sheetData>
    <row r="2" customFormat="false" ht="24.45" hidden="false" customHeight="false" outlineLevel="0" collapsed="false">
      <c r="B2" s="7" t="s">
        <v>284</v>
      </c>
    </row>
    <row r="3" customFormat="false" ht="15" hidden="false" customHeight="false" outlineLevel="0" collapsed="false">
      <c r="B3" s="8" t="s">
        <v>285</v>
      </c>
    </row>
    <row r="5" customFormat="false" ht="16.15" hidden="false" customHeight="false" outlineLevel="0" collapsed="false">
      <c r="B5" s="9" t="s">
        <v>286</v>
      </c>
    </row>
    <row r="6" customFormat="false" ht="15" hidden="false" customHeight="false" outlineLevel="0" collapsed="false">
      <c r="B6" s="10" t="s">
        <v>287</v>
      </c>
    </row>
    <row r="8" customFormat="false" ht="15" hidden="false" customHeight="false" outlineLevel="0" collapsed="false">
      <c r="B8" s="1" t="s">
        <v>7</v>
      </c>
      <c r="C8" s="1" t="s">
        <v>288</v>
      </c>
    </row>
    <row r="9" customFormat="false" ht="15" hidden="false" customHeight="false" outlineLevel="0" collapsed="false">
      <c r="B9" s="11" t="s">
        <v>22</v>
      </c>
      <c r="C9" s="12" t="n">
        <f aca="false">SUMIF(Data!$H$2:$H$221,B9,Data!$J$2:$J$221)</f>
        <v>48273.83</v>
      </c>
    </row>
    <row r="10" customFormat="false" ht="15" hidden="false" customHeight="false" outlineLevel="0" collapsed="false">
      <c r="B10" s="11" t="s">
        <v>18</v>
      </c>
      <c r="C10" s="12" t="n">
        <f aca="false">SUMIF(Data!$H$2:$H$221,B10,Data!$J$2:$J$221)</f>
        <v>11855.33</v>
      </c>
    </row>
    <row r="11" customFormat="false" ht="15" hidden="false" customHeight="false" outlineLevel="0" collapsed="false">
      <c r="B11" s="11" t="s">
        <v>28</v>
      </c>
      <c r="C11" s="12" t="n">
        <f aca="false">SUMIF(Data!$H$2:$H$221,B11,Data!$J$2:$J$221)</f>
        <v>71222.3</v>
      </c>
    </row>
    <row r="21" customFormat="false" ht="16.15" hidden="false" customHeight="false" outlineLevel="0" collapsed="false">
      <c r="B21" s="9" t="s">
        <v>289</v>
      </c>
    </row>
    <row r="22" customFormat="false" ht="15" hidden="false" customHeight="false" outlineLevel="0" collapsed="false">
      <c r="B22" s="10" t="s">
        <v>290</v>
      </c>
    </row>
    <row r="24" customFormat="false" ht="15" hidden="false" customHeight="false" outlineLevel="0" collapsed="false">
      <c r="B24" s="1" t="s">
        <v>5</v>
      </c>
      <c r="C24" s="1" t="s">
        <v>288</v>
      </c>
      <c r="D24" s="1" t="s">
        <v>291</v>
      </c>
    </row>
    <row r="25" customFormat="false" ht="15" hidden="false" customHeight="false" outlineLevel="0" collapsed="false">
      <c r="B25" s="11" t="s">
        <v>41</v>
      </c>
      <c r="C25" s="12" t="n">
        <f aca="false">SUMIF(Data!$F$2:$F$221,B25,Data!$J$2:$J$221)</f>
        <v>38588.07</v>
      </c>
      <c r="D25" s="13" t="n">
        <f aca="false">SUMIF(Data!$F$2:$F$221,B25,Data!$M$2:$M$221)</f>
        <v>3270.85</v>
      </c>
    </row>
    <row r="26" customFormat="false" ht="15" hidden="false" customHeight="false" outlineLevel="0" collapsed="false">
      <c r="B26" s="11" t="s">
        <v>16</v>
      </c>
      <c r="C26" s="12" t="n">
        <f aca="false">SUMIF(Data!$F$2:$F$221,B26,Data!$J$2:$J$221)</f>
        <v>28530.71</v>
      </c>
      <c r="D26" s="13" t="n">
        <f aca="false">SUMIF(Data!$F$2:$F$221,B26,Data!$M$2:$M$221)</f>
        <v>1554.51</v>
      </c>
    </row>
    <row r="27" customFormat="false" ht="15" hidden="false" customHeight="false" outlineLevel="0" collapsed="false">
      <c r="B27" s="11" t="s">
        <v>32</v>
      </c>
      <c r="C27" s="12" t="n">
        <f aca="false">SUMIF(Data!$F$2:$F$221,B27,Data!$J$2:$J$221)</f>
        <v>25943.95</v>
      </c>
      <c r="D27" s="13" t="n">
        <f aca="false">SUMIF(Data!$F$2:$F$221,B27,Data!$M$2:$M$221)</f>
        <v>2681.27</v>
      </c>
    </row>
    <row r="28" customFormat="false" ht="15" hidden="false" customHeight="false" outlineLevel="0" collapsed="false">
      <c r="B28" s="11" t="s">
        <v>52</v>
      </c>
      <c r="C28" s="12" t="n">
        <f aca="false">SUMIF(Data!$F$2:$F$221,B28,Data!$J$2:$J$221)</f>
        <v>38288.73</v>
      </c>
      <c r="D28" s="13" t="n">
        <f aca="false">SUMIF(Data!$F$2:$F$221,B28,Data!$M$2:$M$221)</f>
        <v>3037.84</v>
      </c>
    </row>
    <row r="38" customFormat="false" ht="16.15" hidden="false" customHeight="false" outlineLevel="0" collapsed="false">
      <c r="B38" s="9" t="s">
        <v>292</v>
      </c>
    </row>
    <row r="39" customFormat="false" ht="15" hidden="false" customHeight="false" outlineLevel="0" collapsed="false">
      <c r="B39" s="10" t="s">
        <v>293</v>
      </c>
    </row>
    <row r="41" customFormat="false" ht="15" hidden="false" customHeight="false" outlineLevel="0" collapsed="false">
      <c r="B41" s="1" t="s">
        <v>294</v>
      </c>
      <c r="C41" s="1" t="s">
        <v>288</v>
      </c>
    </row>
    <row r="42" customFormat="false" ht="15" hidden="false" customHeight="false" outlineLevel="0" collapsed="false">
      <c r="B42" s="11" t="s">
        <v>295</v>
      </c>
      <c r="C42" s="12" t="n">
        <f aca="false">SUMPRODUCT((Data!$B$2:$B$221&gt;=DATE(2025,1,1))*(Data!$B$2:$B$221&lt;DATE(2025,2,1))*Data!$J$2:$J$221)</f>
        <v>7483.57</v>
      </c>
    </row>
    <row r="43" customFormat="false" ht="15" hidden="false" customHeight="false" outlineLevel="0" collapsed="false">
      <c r="B43" s="11" t="s">
        <v>296</v>
      </c>
      <c r="C43" s="12" t="n">
        <f aca="false">SUMPRODUCT((Data!$B$2:$B$221&gt;=DATE(2025,2,1))*(Data!$B$2:$B$221&lt;DATE(2025,3,1))*Data!$J$2:$J$221)</f>
        <v>6383.5</v>
      </c>
    </row>
    <row r="44" customFormat="false" ht="15" hidden="false" customHeight="false" outlineLevel="0" collapsed="false">
      <c r="B44" s="11" t="s">
        <v>297</v>
      </c>
      <c r="C44" s="12" t="n">
        <f aca="false">SUMPRODUCT((Data!$B$2:$B$221&gt;=DATE(2025,3,1))*(Data!$B$2:$B$221&lt;DATE(2025,4,1))*Data!$J$2:$J$221)</f>
        <v>14594.92</v>
      </c>
    </row>
    <row r="45" customFormat="false" ht="15" hidden="false" customHeight="false" outlineLevel="0" collapsed="false">
      <c r="B45" s="11" t="s">
        <v>298</v>
      </c>
      <c r="C45" s="12" t="n">
        <f aca="false">SUMPRODUCT((Data!$B$2:$B$221&gt;=DATE(2025,4,1))*(Data!$B$2:$B$221&lt;DATE(2025,5,1))*Data!$J$2:$J$221)</f>
        <v>7413.07</v>
      </c>
    </row>
    <row r="46" customFormat="false" ht="15" hidden="false" customHeight="false" outlineLevel="0" collapsed="false">
      <c r="B46" s="11" t="s">
        <v>299</v>
      </c>
      <c r="C46" s="12" t="n">
        <f aca="false">SUMPRODUCT((Data!$B$2:$B$221&gt;=DATE(2025,5,1))*(Data!$B$2:$B$221&lt;DATE(2025,6,1))*Data!$J$2:$J$221)</f>
        <v>20931.36</v>
      </c>
    </row>
    <row r="47" customFormat="false" ht="15" hidden="false" customHeight="false" outlineLevel="0" collapsed="false">
      <c r="B47" s="11" t="s">
        <v>300</v>
      </c>
      <c r="C47" s="12" t="n">
        <f aca="false">SUMPRODUCT((Data!$B$2:$B$221&gt;=DATE(2025,6,1))*(Data!$B$2:$B$221&lt;DATE(2025,7,1))*Data!$J$2:$J$221)</f>
        <v>9114.71</v>
      </c>
    </row>
    <row r="48" customFormat="false" ht="15" hidden="false" customHeight="false" outlineLevel="0" collapsed="false">
      <c r="B48" s="11" t="s">
        <v>301</v>
      </c>
      <c r="C48" s="12" t="n">
        <f aca="false">SUMPRODUCT((Data!$B$2:$B$221&gt;=DATE(2025,7,1))*(Data!$B$2:$B$221&lt;DATE(2025,8,1))*Data!$J$2:$J$221)</f>
        <v>9643.9</v>
      </c>
    </row>
    <row r="49" customFormat="false" ht="15" hidden="false" customHeight="false" outlineLevel="0" collapsed="false">
      <c r="B49" s="11" t="s">
        <v>302</v>
      </c>
      <c r="C49" s="12" t="n">
        <f aca="false">SUMPRODUCT((Data!$B$2:$B$221&gt;=DATE(2025,8,1))*(Data!$B$2:$B$221&lt;DATE(2025,9,1))*Data!$J$2:$J$221)</f>
        <v>16205.98</v>
      </c>
    </row>
    <row r="50" customFormat="false" ht="15" hidden="false" customHeight="false" outlineLevel="0" collapsed="false">
      <c r="B50" s="11" t="s">
        <v>303</v>
      </c>
      <c r="C50" s="12" t="n">
        <f aca="false">SUMPRODUCT((Data!$B$2:$B$221&gt;=DATE(2025,9,1))*(Data!$B$2:$B$221&lt;DATE(2025,10,1))*Data!$J$2:$J$221)</f>
        <v>13114.01</v>
      </c>
    </row>
    <row r="51" customFormat="false" ht="15" hidden="false" customHeight="false" outlineLevel="0" collapsed="false">
      <c r="B51" s="11" t="s">
        <v>304</v>
      </c>
      <c r="C51" s="12" t="n">
        <f aca="false">SUMPRODUCT((Data!$B$2:$B$221&gt;=DATE(2025,10,1))*(Data!$B$2:$B$221&lt;DATE(2025,11,1))*Data!$J$2:$J$221)</f>
        <v>9317.09</v>
      </c>
    </row>
    <row r="52" customFormat="false" ht="15" hidden="false" customHeight="false" outlineLevel="0" collapsed="false">
      <c r="B52" s="11" t="s">
        <v>305</v>
      </c>
      <c r="C52" s="12" t="n">
        <f aca="false">SUMPRODUCT((Data!$B$2:$B$221&gt;=DATE(2025,11,1))*(Data!$B$2:$B$221&lt;DATE(2025,12,1))*Data!$J$2:$J$221)</f>
        <v>7951.18</v>
      </c>
    </row>
    <row r="53" customFormat="false" ht="15" hidden="false" customHeight="false" outlineLevel="0" collapsed="false">
      <c r="B53" s="11" t="s">
        <v>306</v>
      </c>
      <c r="C53" s="12" t="n">
        <f aca="false">SUMPRODUCT((Data!$B$2:$B$221&gt;=DATE(2025,12,1))*(Data!$B$2:$B$221&lt;DATE(2025,1,1))*Data!$J$2:$J$221)</f>
        <v>0</v>
      </c>
    </row>
    <row r="63" customFormat="false" ht="16.15" hidden="false" customHeight="false" outlineLevel="0" collapsed="false">
      <c r="B63" s="9" t="s">
        <v>307</v>
      </c>
    </row>
    <row r="64" customFormat="false" ht="15" hidden="false" customHeight="false" outlineLevel="0" collapsed="false">
      <c r="B64" s="10" t="s">
        <v>308</v>
      </c>
    </row>
    <row r="65" customFormat="false" ht="15" hidden="false" customHeight="false" outlineLevel="0" collapsed="false">
      <c r="B65" s="1" t="s">
        <v>309</v>
      </c>
      <c r="C65" s="1" t="s">
        <v>310</v>
      </c>
      <c r="D65" s="1" t="s">
        <v>288</v>
      </c>
    </row>
    <row r="66" customFormat="false" ht="15" hidden="false" customHeight="false" outlineLevel="0" collapsed="false">
      <c r="B66" s="11" t="n">
        <v>1</v>
      </c>
      <c r="C66" s="11" t="str">
        <f aca="false">INDEX($B$202:$B$219,MATCH(D66,$C$202:$C$219,0))</f>
        <v>Maya Patel</v>
      </c>
      <c r="D66" s="12" t="n">
        <f aca="false">LARGE($C$202:$C$219,1)</f>
        <v>12136.86</v>
      </c>
    </row>
    <row r="67" customFormat="false" ht="15" hidden="false" customHeight="false" outlineLevel="0" collapsed="false">
      <c r="B67" s="11" t="n">
        <v>2</v>
      </c>
      <c r="C67" s="11" t="str">
        <f aca="false">INDEX($B$202:$B$219,MATCH(D67,$C$202:$C$219,0))</f>
        <v>Ryan Cole</v>
      </c>
      <c r="D67" s="12" t="n">
        <f aca="false">LARGE($C$202:$C$219,2)</f>
        <v>12006.52</v>
      </c>
    </row>
    <row r="68" customFormat="false" ht="15" hidden="false" customHeight="false" outlineLevel="0" collapsed="false">
      <c r="B68" s="11" t="n">
        <v>3</v>
      </c>
      <c r="C68" s="11" t="str">
        <f aca="false">INDEX($B$202:$B$219,MATCH(D68,$C$202:$C$219,0))</f>
        <v>Olivia James</v>
      </c>
      <c r="D68" s="12" t="n">
        <f aca="false">LARGE($C$202:$C$219,3)</f>
        <v>11856.45</v>
      </c>
    </row>
    <row r="69" customFormat="false" ht="15" hidden="false" customHeight="false" outlineLevel="0" collapsed="false">
      <c r="B69" s="11" t="n">
        <v>4</v>
      </c>
      <c r="C69" s="11" t="str">
        <f aca="false">INDEX($B$202:$B$219,MATCH(D69,$C$202:$C$219,0))</f>
        <v>Diego Ramirez</v>
      </c>
      <c r="D69" s="12" t="n">
        <f aca="false">LARGE($C$202:$C$219,4)</f>
        <v>11018.14</v>
      </c>
    </row>
    <row r="70" customFormat="false" ht="15" hidden="false" customHeight="false" outlineLevel="0" collapsed="false">
      <c r="B70" s="11" t="n">
        <v>5</v>
      </c>
      <c r="C70" s="11" t="str">
        <f aca="false">INDEX($B$202:$B$219,MATCH(D70,$C$202:$C$219,0))</f>
        <v>Harold Pham</v>
      </c>
      <c r="D70" s="12" t="n">
        <f aca="false">LARGE($C$202:$C$219,5)</f>
        <v>9205.7</v>
      </c>
    </row>
    <row r="74" customFormat="false" ht="16.15" hidden="false" customHeight="false" outlineLevel="0" collapsed="false">
      <c r="B74" s="9" t="s">
        <v>311</v>
      </c>
    </row>
    <row r="75" customFormat="false" ht="15" hidden="false" customHeight="false" outlineLevel="0" collapsed="false">
      <c r="B75" s="10" t="s">
        <v>312</v>
      </c>
    </row>
    <row r="77" customFormat="false" ht="15" hidden="false" customHeight="false" outlineLevel="0" collapsed="false">
      <c r="B77" s="1" t="s">
        <v>8</v>
      </c>
      <c r="C77" s="1" t="s">
        <v>288</v>
      </c>
      <c r="D77" s="1" t="s">
        <v>291</v>
      </c>
      <c r="E77" s="1" t="s">
        <v>313</v>
      </c>
    </row>
    <row r="78" customFormat="false" ht="15" hidden="false" customHeight="false" outlineLevel="0" collapsed="false">
      <c r="B78" s="11" t="s">
        <v>23</v>
      </c>
      <c r="C78" s="12" t="n">
        <f aca="false">SUMIF(Data!$I$2:$I$221,B78,Data!$J$2:$J$221)</f>
        <v>11909.19</v>
      </c>
      <c r="D78" s="13" t="n">
        <f aca="false">SUMIF(Data!$I$2:$I$221,B78,Data!$M$2:$M$221)</f>
        <v>529.76</v>
      </c>
      <c r="E78" s="14" t="n">
        <f aca="false">IFERROR(D78/C78,0)</f>
        <v>0.044483293993966</v>
      </c>
    </row>
    <row r="79" customFormat="false" ht="15" hidden="false" customHeight="false" outlineLevel="0" collapsed="false">
      <c r="B79" s="11" t="s">
        <v>50</v>
      </c>
      <c r="C79" s="12" t="n">
        <f aca="false">SUMIF(Data!$I$2:$I$221,B79,Data!$J$2:$J$221)</f>
        <v>8134.01</v>
      </c>
      <c r="D79" s="13" t="n">
        <f aca="false">SUMIF(Data!$I$2:$I$221,B79,Data!$M$2:$M$221)</f>
        <v>1157.4</v>
      </c>
      <c r="E79" s="14" t="n">
        <f aca="false">IFERROR(D79/C79,0)</f>
        <v>0.142291440507204</v>
      </c>
    </row>
    <row r="80" customFormat="false" ht="15" hidden="false" customHeight="false" outlineLevel="0" collapsed="false">
      <c r="B80" s="11" t="s">
        <v>43</v>
      </c>
      <c r="C80" s="12" t="n">
        <f aca="false">SUMIF(Data!$I$2:$I$221,B80,Data!$J$2:$J$221)</f>
        <v>24626.85</v>
      </c>
      <c r="D80" s="13" t="n">
        <f aca="false">SUMIF(Data!$I$2:$I$221,B80,Data!$M$2:$M$221)</f>
        <v>-1455.65</v>
      </c>
      <c r="E80" s="14" t="n">
        <f aca="false">IFERROR(D80/C80,0)</f>
        <v>-0.0591082497355529</v>
      </c>
    </row>
    <row r="81" customFormat="false" ht="15" hidden="false" customHeight="false" outlineLevel="0" collapsed="false">
      <c r="B81" s="11" t="s">
        <v>70</v>
      </c>
      <c r="C81" s="12" t="n">
        <f aca="false">SUMIF(Data!$I$2:$I$221,B81,Data!$J$2:$J$221)</f>
        <v>3603.78</v>
      </c>
      <c r="D81" s="13" t="n">
        <f aca="false">SUMIF(Data!$I$2:$I$221,B81,Data!$M$2:$M$221)</f>
        <v>697.14</v>
      </c>
      <c r="E81" s="14" t="n">
        <f aca="false">IFERROR(D81/C81,0)</f>
        <v>0.193446880775186</v>
      </c>
    </row>
    <row r="82" customFormat="false" ht="15" hidden="false" customHeight="false" outlineLevel="0" collapsed="false">
      <c r="B82" s="11" t="s">
        <v>19</v>
      </c>
      <c r="C82" s="12" t="n">
        <f aca="false">SUMIF(Data!$I$2:$I$221,B82,Data!$J$2:$J$221)</f>
        <v>639.73</v>
      </c>
      <c r="D82" s="13" t="n">
        <f aca="false">SUMIF(Data!$I$2:$I$221,B82,Data!$M$2:$M$221)</f>
        <v>187.27</v>
      </c>
      <c r="E82" s="14" t="n">
        <f aca="false">IFERROR(D82/C82,0)</f>
        <v>0.29273287168024</v>
      </c>
    </row>
    <row r="83" customFormat="false" ht="15" hidden="false" customHeight="false" outlineLevel="0" collapsed="false">
      <c r="B83" s="11" t="s">
        <v>66</v>
      </c>
      <c r="C83" s="12" t="n">
        <f aca="false">SUMIF(Data!$I$2:$I$221,B83,Data!$J$2:$J$221)</f>
        <v>1089.01</v>
      </c>
      <c r="D83" s="13" t="n">
        <f aca="false">SUMIF(Data!$I$2:$I$221,B83,Data!$M$2:$M$221)</f>
        <v>370.99</v>
      </c>
      <c r="E83" s="14" t="n">
        <f aca="false">IFERROR(D83/C83,0)</f>
        <v>0.340667211504027</v>
      </c>
    </row>
    <row r="84" customFormat="false" ht="15" hidden="false" customHeight="false" outlineLevel="0" collapsed="false">
      <c r="B84" s="11" t="s">
        <v>56</v>
      </c>
      <c r="C84" s="12" t="n">
        <f aca="false">SUMIF(Data!$I$2:$I$221,B84,Data!$J$2:$J$221)</f>
        <v>7695.06</v>
      </c>
      <c r="D84" s="13" t="n">
        <f aca="false">SUMIF(Data!$I$2:$I$221,B84,Data!$M$2:$M$221)</f>
        <v>1331.18</v>
      </c>
      <c r="E84" s="14" t="n">
        <f aca="false">IFERROR(D84/C84,0)</f>
        <v>0.172991503639998</v>
      </c>
    </row>
    <row r="85" customFormat="false" ht="15" hidden="false" customHeight="false" outlineLevel="0" collapsed="false">
      <c r="B85" s="11" t="s">
        <v>58</v>
      </c>
      <c r="C85" s="12" t="n">
        <f aca="false">SUMIF(Data!$I$2:$I$221,B85,Data!$J$2:$J$221)</f>
        <v>2431.53</v>
      </c>
      <c r="D85" s="13" t="n">
        <f aca="false">SUMIF(Data!$I$2:$I$221,B85,Data!$M$2:$M$221)</f>
        <v>204.31</v>
      </c>
      <c r="E85" s="14" t="n">
        <f aca="false">IFERROR(D85/C85,0)</f>
        <v>0.0840252844916575</v>
      </c>
    </row>
    <row r="86" customFormat="false" ht="15" hidden="false" customHeight="false" outlineLevel="0" collapsed="false">
      <c r="B86" s="11" t="s">
        <v>29</v>
      </c>
      <c r="C86" s="12" t="n">
        <f aca="false">SUMIF(Data!$I$2:$I$221,B86,Data!$J$2:$J$221)</f>
        <v>5119.99</v>
      </c>
      <c r="D86" s="13" t="n">
        <f aca="false">SUMIF(Data!$I$2:$I$221,B86,Data!$M$2:$M$221)</f>
        <v>1289.86</v>
      </c>
      <c r="E86" s="14" t="n">
        <f aca="false">IFERROR(D86/C86,0)</f>
        <v>0.251926273293503</v>
      </c>
    </row>
    <row r="87" customFormat="false" ht="15" hidden="false" customHeight="false" outlineLevel="0" collapsed="false">
      <c r="B87" s="11" t="s">
        <v>81</v>
      </c>
      <c r="C87" s="12" t="n">
        <f aca="false">SUMIF(Data!$I$2:$I$221,B87,Data!$J$2:$J$221)</f>
        <v>38518.05</v>
      </c>
      <c r="D87" s="13" t="n">
        <f aca="false">SUMIF(Data!$I$2:$I$221,B87,Data!$M$2:$M$221)</f>
        <v>1690.18</v>
      </c>
      <c r="E87" s="14" t="n">
        <f aca="false">IFERROR(D87/C87,0)</f>
        <v>0.0438802068121309</v>
      </c>
    </row>
    <row r="88" customFormat="false" ht="15" hidden="false" customHeight="false" outlineLevel="0" collapsed="false">
      <c r="B88" s="11" t="s">
        <v>36</v>
      </c>
      <c r="C88" s="12" t="n">
        <f aca="false">SUMIF(Data!$I$2:$I$221,B88,Data!$J$2:$J$221)</f>
        <v>27584.26</v>
      </c>
      <c r="D88" s="13" t="n">
        <f aca="false">SUMIF(Data!$I$2:$I$221,B88,Data!$M$2:$M$221)</f>
        <v>4542.03</v>
      </c>
      <c r="E88" s="14" t="n">
        <f aca="false">IFERROR(D88/C88,0)</f>
        <v>0.164660208394207</v>
      </c>
    </row>
    <row r="90" customFormat="false" ht="15" hidden="false" customHeight="false" outlineLevel="0" collapsed="false">
      <c r="B90" s="15" t="s">
        <v>314</v>
      </c>
    </row>
    <row r="200" customFormat="false" ht="15" hidden="false" customHeight="false" outlineLevel="0" collapsed="false">
      <c r="B200" s="15" t="s">
        <v>315</v>
      </c>
    </row>
    <row r="201" customFormat="false" ht="15" hidden="false" customHeight="false" outlineLevel="0" collapsed="false">
      <c r="B201" s="16" t="s">
        <v>310</v>
      </c>
      <c r="C201" s="16" t="s">
        <v>288</v>
      </c>
    </row>
    <row r="202" customFormat="false" ht="15" hidden="false" customHeight="false" outlineLevel="0" collapsed="false">
      <c r="B202" s="2" t="s">
        <v>72</v>
      </c>
      <c r="C202" s="17" t="n">
        <f aca="false">SUMIF(Data!$D$2:$D$221,B202,Data!$J$2:$J$221)</f>
        <v>5179.03</v>
      </c>
    </row>
    <row r="203" customFormat="false" ht="15" hidden="false" customHeight="false" outlineLevel="0" collapsed="false">
      <c r="B203" s="2" t="s">
        <v>38</v>
      </c>
      <c r="C203" s="17" t="n">
        <f aca="false">SUMIF(Data!$D$2:$D$221,B203,Data!$J$2:$J$221)</f>
        <v>5579.39</v>
      </c>
    </row>
    <row r="204" customFormat="false" ht="15" hidden="false" customHeight="false" outlineLevel="0" collapsed="false">
      <c r="B204" s="2" t="s">
        <v>47</v>
      </c>
      <c r="C204" s="17" t="n">
        <f aca="false">SUMIF(Data!$D$2:$D$221,B204,Data!$J$2:$J$221)</f>
        <v>8785.45</v>
      </c>
    </row>
    <row r="205" customFormat="false" ht="15" hidden="false" customHeight="false" outlineLevel="0" collapsed="false">
      <c r="B205" s="2" t="s">
        <v>74</v>
      </c>
      <c r="C205" s="17" t="n">
        <f aca="false">SUMIF(Data!$D$2:$D$221,B205,Data!$J$2:$J$221)</f>
        <v>11018.14</v>
      </c>
    </row>
    <row r="206" customFormat="false" ht="15" hidden="false" customHeight="false" outlineLevel="0" collapsed="false">
      <c r="B206" s="2" t="s">
        <v>69</v>
      </c>
      <c r="C206" s="17" t="n">
        <f aca="false">SUMIF(Data!$D$2:$D$221,B206,Data!$J$2:$J$221)</f>
        <v>5198.95</v>
      </c>
    </row>
    <row r="207" customFormat="false" ht="15" hidden="false" customHeight="false" outlineLevel="0" collapsed="false">
      <c r="B207" s="2" t="s">
        <v>21</v>
      </c>
      <c r="C207" s="17" t="n">
        <f aca="false">SUMIF(Data!$D$2:$D$221,B207,Data!$J$2:$J$221)</f>
        <v>7433.17</v>
      </c>
    </row>
    <row r="208" customFormat="false" ht="15" hidden="false" customHeight="false" outlineLevel="0" collapsed="false">
      <c r="B208" s="2" t="s">
        <v>45</v>
      </c>
      <c r="C208" s="17" t="n">
        <f aca="false">SUMIF(Data!$D$2:$D$221,B208,Data!$J$2:$J$221)</f>
        <v>4351.39</v>
      </c>
    </row>
    <row r="209" customFormat="false" ht="15" hidden="false" customHeight="false" outlineLevel="0" collapsed="false">
      <c r="B209" s="2" t="s">
        <v>84</v>
      </c>
      <c r="C209" s="17" t="n">
        <f aca="false">SUMIF(Data!$D$2:$D$221,B209,Data!$J$2:$J$221)</f>
        <v>9205.7</v>
      </c>
    </row>
    <row r="210" customFormat="false" ht="15" hidden="false" customHeight="false" outlineLevel="0" collapsed="false">
      <c r="B210" s="2" t="s">
        <v>60</v>
      </c>
      <c r="C210" s="17" t="n">
        <f aca="false">SUMIF(Data!$D$2:$D$221,B210,Data!$J$2:$J$221)</f>
        <v>7387.47</v>
      </c>
    </row>
    <row r="211" customFormat="false" ht="15" hidden="false" customHeight="false" outlineLevel="0" collapsed="false">
      <c r="B211" s="2" t="s">
        <v>14</v>
      </c>
      <c r="C211" s="17" t="n">
        <f aca="false">SUMIF(Data!$D$2:$D$221,B211,Data!$J$2:$J$221)</f>
        <v>5770.8</v>
      </c>
    </row>
    <row r="212" customFormat="false" ht="15" hidden="false" customHeight="false" outlineLevel="0" collapsed="false">
      <c r="B212" s="2" t="s">
        <v>89</v>
      </c>
      <c r="C212" s="17" t="n">
        <f aca="false">SUMIF(Data!$D$2:$D$221,B212,Data!$J$2:$J$221)</f>
        <v>6009.18</v>
      </c>
    </row>
    <row r="213" customFormat="false" ht="15" hidden="false" customHeight="false" outlineLevel="0" collapsed="false">
      <c r="B213" s="2" t="s">
        <v>76</v>
      </c>
      <c r="C213" s="17" t="n">
        <f aca="false">SUMIF(Data!$D$2:$D$221,B213,Data!$J$2:$J$221)</f>
        <v>2071.88</v>
      </c>
    </row>
    <row r="214" customFormat="false" ht="15" hidden="false" customHeight="false" outlineLevel="0" collapsed="false">
      <c r="B214" s="2" t="s">
        <v>25</v>
      </c>
      <c r="C214" s="17" t="n">
        <f aca="false">SUMIF(Data!$D$2:$D$221,B214,Data!$J$2:$J$221)</f>
        <v>12136.86</v>
      </c>
    </row>
    <row r="215" customFormat="false" ht="15" hidden="false" customHeight="false" outlineLevel="0" collapsed="false">
      <c r="B215" s="2" t="s">
        <v>55</v>
      </c>
      <c r="C215" s="17" t="n">
        <f aca="false">SUMIF(Data!$D$2:$D$221,B215,Data!$J$2:$J$221)</f>
        <v>5731.69</v>
      </c>
    </row>
    <row r="216" customFormat="false" ht="15" hidden="false" customHeight="false" outlineLevel="0" collapsed="false">
      <c r="B216" s="2" t="s">
        <v>109</v>
      </c>
      <c r="C216" s="17" t="n">
        <f aca="false">SUMIF(Data!$D$2:$D$221,B216,Data!$J$2:$J$221)</f>
        <v>11856.45</v>
      </c>
    </row>
    <row r="217" customFormat="false" ht="15" hidden="false" customHeight="false" outlineLevel="0" collapsed="false">
      <c r="B217" s="2" t="s">
        <v>31</v>
      </c>
      <c r="C217" s="17" t="n">
        <f aca="false">SUMIF(Data!$D$2:$D$221,B217,Data!$J$2:$J$221)</f>
        <v>4331.43</v>
      </c>
    </row>
    <row r="218" customFormat="false" ht="15" hidden="false" customHeight="false" outlineLevel="0" collapsed="false">
      <c r="B218" s="2" t="s">
        <v>101</v>
      </c>
      <c r="C218" s="17" t="n">
        <f aca="false">SUMIF(Data!$D$2:$D$221,B218,Data!$J$2:$J$221)</f>
        <v>7297.96</v>
      </c>
    </row>
    <row r="219" customFormat="false" ht="15" hidden="false" customHeight="false" outlineLevel="0" collapsed="false">
      <c r="B219" s="2" t="s">
        <v>91</v>
      </c>
      <c r="C219" s="17" t="n">
        <f aca="false">SUMIF(Data!$D$2:$D$221,B219,Data!$J$2:$J$221)</f>
        <v>12006.52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2026-09-01T09:27:01Z</dcterms:created>
  <dc:creator>openpyxl</dc:creator>
  <dc:description/>
  <dc:language>en-US</dc:language>
  <cp:lastModifiedBy/>
  <dcterms:modified xsi:type="dcterms:W3CDTF">2026-09-01T18:57:02Z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