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acc69146c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c6102c79c46f43f0"/>
    <x:sheet xmlns:r="http://schemas.openxmlformats.org/officeDocument/2006/relationships" name="Visits" sheetId="2" r:id="Re2b8be9ce936443d"/>
    <x:sheet xmlns:r="http://schemas.openxmlformats.org/officeDocument/2006/relationships" name="SourceWide" sheetId="3" r:id="R80ccb492587f4608"/>
    <x:sheet xmlns:r="http://schemas.openxmlformats.org/officeDocument/2006/relationships" name="ParkComparison" sheetId="4" r:id="R726b75749e5b494a"/>
    <x:sheet xmlns:r="http://schemas.openxmlformats.org/officeDocument/2006/relationships" name="Sources" sheetId="5" r:id="R93bad001dae5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sz val="11"/>
      <x:color rgb="FF111111"/>
      <x:name val="Arial"/>
    </x:font>
    <x:font>
      <x:b/>
      <x:sz val="11"/>
      <x:color rgb="FF111111"/>
      <x:name val="Arial"/>
    </x:font>
    <x:font>
      <x:b/>
      <x:sz val="21"/>
      <x:color rgb="FF111111"/>
      <x:name val="Arial"/>
    </x:font>
    <x:font>
      <x:b/>
      <x:sz val="20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4" fillId="0" borderId="0" xfId="0" applyNumberFormat="1" applyFont="1" applyFill="1" applyBorder="1"/>
    <x:xf numFmtId="201" fontId="1" fillId="0" borderId="0" xfId="0" applyNumberFormat="1" applyFont="1" applyFill="1" applyBorder="1"/>
    <x:xf numFmtId="201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9c2cecd5e4405" /><Relationship Type="http://schemas.openxmlformats.org/officeDocument/2006/relationships/theme" Target="/xl/theme/theme1.xml" Id="R458a2b6864594fee" /><Relationship Type="http://schemas.openxmlformats.org/officeDocument/2006/relationships/sharedStrings" Target="/xl/sharedStrings.xml" Id="R17a79a44bc504bea" /><Relationship Type="http://schemas.openxmlformats.org/officeDocument/2006/relationships/worksheet" Target="/xl/worksheets/sheet1.xml" Id="Rc6102c79c46f43f0" /><Relationship Type="http://schemas.openxmlformats.org/officeDocument/2006/relationships/worksheet" Target="/xl/worksheets/sheet2.xml" Id="Re2b8be9ce936443d" /><Relationship Type="http://schemas.openxmlformats.org/officeDocument/2006/relationships/worksheet" Target="/xl/worksheets/sheet3.xml" Id="R80ccb492587f4608" /><Relationship Type="http://schemas.openxmlformats.org/officeDocument/2006/relationships/worksheet" Target="/xl/worksheets/sheet4.xml" Id="R726b75749e5b494a" /><Relationship Type="http://schemas.openxmlformats.org/officeDocument/2006/relationships/worksheet" Target="/xl/worksheets/sheet5.xml" Id="R93bad001dae54b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19457942db41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estimated visits — selected region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Estimated visits</c:v>
          </c:tx>
          <c:spPr>
            <a:solidFill xmlns:a="http://schemas.openxmlformats.org/drawingml/2006/main">
              <a:srgbClr val="333333"/>
            </a:solidFill>
          </c:spPr>
          <c:marker>
            <c:symbol val="none"/>
          </c:marker>
          <c:cat>
            <c:strRef>
              <c:f>'Report'!$A$11:$A$15</c:f>
              <c:strCache>
                <c:ptCount val="0"/>
              </c:strCache>
            </c:strRef>
          </c:cat>
          <c:val>
            <c:numRef>
              <c:f>'Report'!$B$11:$B$15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19457942db410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kVisits" displayName="ParkVisits" ref="A1:D111" headerRowCount="1" totalsRowCount="0" totalsRowShown="0">
  <x:tableColumns count="4">
    <x:tableColumn id="1" name="Year"/>
    <x:tableColumn id="2" name="Region"/>
    <x:tableColumn id="3" name="Park"/>
    <x:tableColumn id="4" name="Visit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7f4e8a491d44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e9b32de4cc44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A1" s="5" t="str">
        <x:v>Northern Territory park visits</x:v>
      </x:c>
      <x:c r="B1" s="1"/>
      <x:c r="C1" s="1"/>
      <x:c r="D1" s="1"/>
      <x:c r="E1" s="1"/>
      <x:c r="F1" s="1"/>
      <x:c r="G1" s="1"/>
      <x:c r="H1" s="1"/>
      <x:c r="I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1" t="str">
        <x:v>Shijian Zhu | s394861 | Report Writer — Week 2</x:v>
      </x:c>
      <x:c r="B3" s="1"/>
      <x:c r="C3" s="1"/>
      <x:c r="D3" s="1"/>
      <x:c r="E3" s="1"/>
      <x:c r="F3" s="1"/>
      <x:c r="G3" s="1"/>
      <x:c r="H3" s="1"/>
      <x:c r="I3" s="1"/>
    </x:row>
    <x:row r="4" ht="23" customHeight="1">
      <x:c r="A4" s="1" t="str">
        <x:v>Official annual estimates • 22 parks/reserves • 2021–2025</x:v>
      </x:c>
      <x:c r="B4" s="1"/>
      <x:c r="C4" s="1"/>
      <x:c r="D4" s="1"/>
      <x:c r="E4" s="1"/>
      <x:c r="F4" s="1"/>
      <x:c r="G4" s="1"/>
      <x:c r="H4" s="1"/>
      <x:c r="I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3" customHeight="1">
      <x:c r="A6" s="1" t="str">
        <x:v>Year</x:v>
      </x:c>
      <x:c r="B6" s="3" t="n">
        <x:v>2025</x:v>
      </x:c>
      <x:c r="C6" s="1"/>
      <x:c r="D6" s="1" t="str">
        <x:v>Estimated visits</x:v>
      </x:c>
      <x:c r="E6" s="1"/>
      <x:c r="F6" s="1" t="str">
        <x:v>Previous year</x:v>
      </x:c>
      <x:c r="G6" s="1"/>
      <x:c r="H6" s="1" t="str">
        <x:v>YoY change</x:v>
      </x:c>
      <x:c r="I6" s="1"/>
    </x:row>
    <x:row r="7" ht="23" customHeight="1">
      <x:c r="A7" s="1" t="str">
        <x:v>Region</x:v>
      </x:c>
      <x:c r="B7" s="3" t="str">
        <x:v>All</x:v>
      </x:c>
      <x:c r="C7" s="3"/>
      <x:c r="D7" s="6" t="n">
        <x:f>SUMIFS('Visits'!$D$2:$D$111,'Visits'!$A$2:$A$111,$B$6,'Visits'!$B$2:$B$111,IF($B$7="All","*",$B$7))</x:f>
        <x:v>3359700</x:v>
      </x:c>
      <x:c r="E7" s="1"/>
      <x:c r="F7" s="6" t="n">
        <x:f>SUMIFS('Visits'!$D$2:$D$111,'Visits'!$A$2:$A$111,$B$6-1,'Visits'!$B$2:$B$111,IF($B$7="All","*",$B$7))</x:f>
        <x:v>3189600</x:v>
      </x:c>
      <x:c r="G7" s="1"/>
      <x:c r="H7" s="8" t="n">
        <x:f>IF(F7=0,"N/A",(D7-F7)/F7)</x:f>
        <x:v>0.053329571106094806</x:v>
      </x:c>
      <x:c r="I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7" customHeight="1">
      <x:c r="A10" s="4" t="str">
        <x:v>Calendar year</x:v>
      </x:c>
      <x:c r="B10" s="4" t="str">
        <x:v>Estimated visits</x:v>
      </x:c>
      <x:c r="C10" s="4" t="str">
        <x:v>YoY change</x:v>
      </x:c>
      <x:c r="D10" s="1"/>
      <x:c r="E10" s="4" t="str">
        <x:v>Region</x:v>
      </x:c>
      <x:c r="F10" s="4" t="str">
        <x:v>Selected year</x:v>
      </x:c>
      <x:c r="G10" s="4" t="str">
        <x:v>Previous year</x:v>
      </x:c>
      <x:c r="H10" s="1"/>
      <x:c r="I10" s="1"/>
    </x:row>
    <x:row r="11" ht="23" customHeight="1">
      <x:c r="A11" s="1" t="n">
        <x:v>2021</x:v>
      </x:c>
      <x:c r="B11" s="2" t="n">
        <x:f>SUMIFS('Visits'!$D$2:$D$111,'Visits'!$A$2:$A$111,A11,'Visits'!$B$2:$B$111,IF($B$7="All","*",$B$7))</x:f>
        <x:v>3341400</x:v>
      </x:c>
      <x:c r="C11" s="7" t="str">
        <x:f>"N/A"</x:f>
        <x:v>N/A</x:v>
      </x:c>
      <x:c r="D11" s="1"/>
      <x:c r="E11" s="1" t="str">
        <x:v>Darwin</x:v>
      </x:c>
      <x:c r="F11" s="2" t="n">
        <x:f>IF(OR($B$7="All",$B$7=E11),SUMIFS('Visits'!$D$2:$D$111,'Visits'!$A$2:$A$111,$B$6,'Visits'!$B$2:$B$111,IF(E11="All","*",E11)),0)</x:f>
        <x:v>2103500</x:v>
      </x:c>
      <x:c r="G11" s="2" t="n">
        <x:f>IF(OR($B$7="All",$B$7=E11),SUMIFS('Visits'!$D$2:$D$111,'Visits'!$A$2:$A$111,$B$6-1,'Visits'!$B$2:$B$111,IF(E11="All","*",E11)),0)</x:f>
        <x:v>1990400</x:v>
      </x:c>
      <x:c r="H11" s="1"/>
      <x:c r="I11" s="1"/>
    </x:row>
    <x:row r="12" ht="23" customHeight="1">
      <x:c r="A12" s="1" t="n">
        <x:v>2022</x:v>
      </x:c>
      <x:c r="B12" s="2" t="n">
        <x:f>SUMIFS('Visits'!$D$2:$D$111,'Visits'!$A$2:$A$111,A12,'Visits'!$B$2:$B$111,IF($B$7="All","*",$B$7))</x:f>
        <x:v>3584600</x:v>
      </x:c>
      <x:c r="C12" s="7" t="n">
        <x:f>IF(B11=0,"N/A",(B12-B11)/B11)</x:f>
        <x:v>0.07278386305141557</x:v>
      </x:c>
      <x:c r="D12" s="1"/>
      <x:c r="E12" s="1" t="str">
        <x:v>Katherine</x:v>
      </x:c>
      <x:c r="F12" s="2" t="n">
        <x:f>IF(OR($B$7="All",$B$7=E12),SUMIFS('Visits'!$D$2:$D$111,'Visits'!$A$2:$A$111,$B$6,'Visits'!$B$2:$B$111,IF(E12="All","*",E12)),0)</x:f>
        <x:v>475300</x:v>
      </x:c>
      <x:c r="G12" s="2" t="n">
        <x:f>IF(OR($B$7="All",$B$7=E12),SUMIFS('Visits'!$D$2:$D$111,'Visits'!$A$2:$A$111,$B$6-1,'Visits'!$B$2:$B$111,IF(E12="All","*",E12)),0)</x:f>
        <x:v>532800</x:v>
      </x:c>
      <x:c r="H12" s="1"/>
      <x:c r="I12" s="1"/>
    </x:row>
    <x:row r="13" ht="23" customHeight="1">
      <x:c r="A13" s="1" t="n">
        <x:v>2023</x:v>
      </x:c>
      <x:c r="B13" s="2" t="n">
        <x:f>SUMIFS('Visits'!$D$2:$D$111,'Visits'!$A$2:$A$111,A13,'Visits'!$B$2:$B$111,IF($B$7="All","*",$B$7))</x:f>
        <x:v>3453500</x:v>
      </x:c>
      <x:c r="C13" s="7" t="n">
        <x:f>IF(B12=0,"N/A",(B13-B12)/B12)</x:f>
        <x:v>-0.03657311833956369</x:v>
      </x:c>
      <x:c r="D13" s="1"/>
      <x:c r="E13" s="1" t="str">
        <x:v>Barkly</x:v>
      </x:c>
      <x:c r="F13" s="2" t="n">
        <x:f>IF(OR($B$7="All",$B$7=E13),SUMIFS('Visits'!$D$2:$D$111,'Visits'!$A$2:$A$111,$B$6,'Visits'!$B$2:$B$111,IF(E13="All","*",E13)),0)</x:f>
        <x:v>128400</x:v>
      </x:c>
      <x:c r="G13" s="2" t="n">
        <x:f>IF(OR($B$7="All",$B$7=E13),SUMIFS('Visits'!$D$2:$D$111,'Visits'!$A$2:$A$111,$B$6-1,'Visits'!$B$2:$B$111,IF(E13="All","*",E13)),0)</x:f>
        <x:v>118100</x:v>
      </x:c>
      <x:c r="H13" s="1"/>
      <x:c r="I13" s="1"/>
    </x:row>
    <x:row r="14" ht="23" customHeight="1">
      <x:c r="A14" s="1" t="n">
        <x:v>2024</x:v>
      </x:c>
      <x:c r="B14" s="2" t="n">
        <x:f>SUMIFS('Visits'!$D$2:$D$111,'Visits'!$A$2:$A$111,A14,'Visits'!$B$2:$B$111,IF($B$7="All","*",$B$7))</x:f>
        <x:v>3189600</x:v>
      </x:c>
      <x:c r="C14" s="7" t="n">
        <x:f>IF(B13=0,"N/A",(B14-B13)/B13)</x:f>
        <x:v>-0.0764152309251484</x:v>
      </x:c>
      <x:c r="D14" s="1"/>
      <x:c r="E14" s="1" t="str">
        <x:v>Alice Springs</x:v>
      </x:c>
      <x:c r="F14" s="2" t="n">
        <x:f>IF(OR($B$7="All",$B$7=E14),SUMIFS('Visits'!$D$2:$D$111,'Visits'!$A$2:$A$111,$B$6,'Visits'!$B$2:$B$111,IF(E14="All","*",E14)),0)</x:f>
        <x:v>652500</x:v>
      </x:c>
      <x:c r="G14" s="2" t="n">
        <x:f>IF(OR($B$7="All",$B$7=E14),SUMIFS('Visits'!$D$2:$D$111,'Visits'!$A$2:$A$111,$B$6-1,'Visits'!$B$2:$B$111,IF(E14="All","*",E14)),0)</x:f>
        <x:v>548300</x:v>
      </x:c>
      <x:c r="H14" s="1"/>
      <x:c r="I14" s="1"/>
    </x:row>
    <x:row r="15" ht="23" customHeight="1">
      <x:c r="A15" s="1" t="n">
        <x:v>2025</x:v>
      </x:c>
      <x:c r="B15" s="2" t="n">
        <x:f>SUMIFS('Visits'!$D$2:$D$111,'Visits'!$A$2:$A$111,A15,'Visits'!$B$2:$B$111,IF($B$7="All","*",$B$7))</x:f>
        <x:v>3359700</x:v>
      </x:c>
      <x:c r="C15" s="7" t="n">
        <x:f>IF(B14=0,"N/A",(B15-B14)/B14)</x:f>
        <x:v>0.053329571106094806</x:v>
      </x:c>
      <x:c r="D15" s="1"/>
      <x:c r="E15" s="1"/>
      <x:c r="F15" s="1"/>
      <x:c r="G15" s="1"/>
      <x:c r="H15" s="1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 t="str">
        <x:v>Source: Parks &amp; Wildlife NT. Counts are estimates; totals are not unique people.</x:v>
      </x:c>
      <x:c r="B17" s="1"/>
      <x:c r="C17" s="1"/>
      <x:c r="D17" s="1"/>
      <x:c r="E17" s="1"/>
      <x:c r="F17" s="1"/>
      <x:c r="G17" s="1"/>
      <x:c r="H17" s="1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</x:row>
  </x:sheetData>
  <x:mergeCells>
    <x:mergeCell ref="A1:I2"/>
    <x:mergeCell ref="A3:I3"/>
    <x:mergeCell ref="A4:I4"/>
    <x:mergeCell ref="B7:C7"/>
    <x:mergeCell ref="D6:E6"/>
    <x:mergeCell ref="D7:E7"/>
    <x:mergeCell ref="F6:G6"/>
    <x:mergeCell ref="F7:G7"/>
    <x:mergeCell ref="H6:I6"/>
    <x:mergeCell ref="H7:I7"/>
    <x:mergeCell ref="A17:I17"/>
  </x:mergeCells>
  <x:dataValidations count="2">
    <x:dataValidation type="list" sqref="B6">
      <x:formula1>"2021,2022,2023,2024,2025"</x:formula1>
    </x:dataValidation>
    <x:dataValidation type="list" sqref="B7">
      <x:formula1>"All,Darwin,Katherine,Barkly,Alice Springs"</x:formula1>
    </x:dataValidation>
  </x:dataValidations>
  <x:pageMargins left="0.7" right="0.7" top="0.75" bottom="0.75" header="0.3" footer="0.3"/>
  <x:drawing xmlns:r="http://schemas.openxmlformats.org/officeDocument/2006/relationships" r:id="Rbc7f4e8a491d447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73" hidden="0" customWidth="1"/>
    <x:col min="4" max="4" width="16" hidden="0" customWidth="1"/>
  </x:cols>
  <x:sheetData>
    <x:row r="1" ht="23" customHeight="1">
      <x:c r="A1" s="1" t="str">
        <x:v>Year</x:v>
      </x:c>
      <x:c r="B1" s="1" t="str">
        <x:v>Region</x:v>
      </x:c>
      <x:c r="C1" s="1" t="str">
        <x:v>Park</x:v>
      </x:c>
      <x:c r="D1" s="1" t="str">
        <x:v>Visits</x:v>
      </x:c>
    </x:row>
    <x:row r="2" ht="23" customHeight="1">
      <x:c r="A2" s="1" t="n">
        <x:v>2021</x:v>
      </x:c>
      <x:c r="B2" s="1" t="str">
        <x:v>Darwin</x:v>
      </x:c>
      <x:c r="C2" s="1" t="str">
        <x:v>Berry Springs Nature Reserve</x:v>
      </x:c>
      <x:c r="D2" s="2" t="n">
        <x:v>158500</x:v>
      </x:c>
    </x:row>
    <x:row r="3" ht="23" customHeight="1">
      <x:c r="A3" s="1" t="n">
        <x:v>2022</x:v>
      </x:c>
      <x:c r="B3" s="1" t="str">
        <x:v>Darwin</x:v>
      </x:c>
      <x:c r="C3" s="1" t="str">
        <x:v>Berry Springs Nature Reserve</x:v>
      </x:c>
      <x:c r="D3" s="2" t="n">
        <x:v>204100</x:v>
      </x:c>
    </x:row>
    <x:row r="4" ht="23" customHeight="1">
      <x:c r="A4" s="1" t="n">
        <x:v>2023</x:v>
      </x:c>
      <x:c r="B4" s="1" t="str">
        <x:v>Darwin</x:v>
      </x:c>
      <x:c r="C4" s="1" t="str">
        <x:v>Berry Springs Nature Reserve</x:v>
      </x:c>
      <x:c r="D4" s="2" t="n">
        <x:v>179300</x:v>
      </x:c>
    </x:row>
    <x:row r="5" ht="23" customHeight="1">
      <x:c r="A5" s="1" t="n">
        <x:v>2024</x:v>
      </x:c>
      <x:c r="B5" s="1" t="str">
        <x:v>Darwin</x:v>
      </x:c>
      <x:c r="C5" s="1" t="str">
        <x:v>Berry Springs Nature Reserve</x:v>
      </x:c>
      <x:c r="D5" s="2" t="n">
        <x:v>175800</x:v>
      </x:c>
    </x:row>
    <x:row r="6" ht="23" customHeight="1">
      <x:c r="A6" s="1" t="n">
        <x:v>2025</x:v>
      </x:c>
      <x:c r="B6" s="1" t="str">
        <x:v>Darwin</x:v>
      </x:c>
      <x:c r="C6" s="1" t="str">
        <x:v>Berry Springs Nature Reserve</x:v>
      </x:c>
      <x:c r="D6" s="2" t="n">
        <x:v>186600</x:v>
      </x:c>
    </x:row>
    <x:row r="7" ht="23" customHeight="1">
      <x:c r="A7" s="1" t="n">
        <x:v>2021</x:v>
      </x:c>
      <x:c r="B7" s="1" t="str">
        <x:v>Darwin</x:v>
      </x:c>
      <x:c r="C7" s="1" t="str">
        <x:v>Casuarina Coastal Reserve - Whole of Park</x:v>
      </x:c>
      <x:c r="D7" s="2" t="n">
        <x:v>1452800</x:v>
      </x:c>
    </x:row>
    <x:row r="8" ht="23" customHeight="1">
      <x:c r="A8" s="1" t="n">
        <x:v>2022</x:v>
      </x:c>
      <x:c r="B8" s="1" t="str">
        <x:v>Darwin</x:v>
      </x:c>
      <x:c r="C8" s="1" t="str">
        <x:v>Casuarina Coastal Reserve - Whole of Park</x:v>
      </x:c>
      <x:c r="D8" s="2" t="n">
        <x:v>1411300</x:v>
      </x:c>
    </x:row>
    <x:row r="9" ht="23" customHeight="1">
      <x:c r="A9" s="1" t="n">
        <x:v>2023</x:v>
      </x:c>
      <x:c r="B9" s="1" t="str">
        <x:v>Darwin</x:v>
      </x:c>
      <x:c r="C9" s="1" t="str">
        <x:v>Casuarina Coastal Reserve - Whole of Park</x:v>
      </x:c>
      <x:c r="D9" s="2" t="n">
        <x:v>1357000</x:v>
      </x:c>
    </x:row>
    <x:row r="10" ht="23" customHeight="1">
      <x:c r="A10" s="1" t="n">
        <x:v>2024</x:v>
      </x:c>
      <x:c r="B10" s="1" t="str">
        <x:v>Darwin</x:v>
      </x:c>
      <x:c r="C10" s="1" t="str">
        <x:v>Casuarina Coastal Reserve - Whole of Park</x:v>
      </x:c>
      <x:c r="D10" s="2" t="n">
        <x:v>1346000</x:v>
      </x:c>
    </x:row>
    <x:row r="11" ht="23" customHeight="1">
      <x:c r="A11" s="1" t="n">
        <x:v>2025</x:v>
      </x:c>
      <x:c r="B11" s="1" t="str">
        <x:v>Darwin</x:v>
      </x:c>
      <x:c r="C11" s="1" t="str">
        <x:v>Casuarina Coastal Reserve - Whole of Park</x:v>
      </x:c>
      <x:c r="D11" s="2" t="n">
        <x:v>1422200</x:v>
      </x:c>
    </x:row>
    <x:row r="12" ht="23" customHeight="1">
      <x:c r="A12" s="1" t="n">
        <x:v>2021</x:v>
      </x:c>
      <x:c r="B12" s="1" t="str">
        <x:v>Darwin</x:v>
      </x:c>
      <x:c r="C12" s="1" t="str">
        <x:v>Fogg Dam Conservation Reserve</x:v>
      </x:c>
      <x:c r="D12" s="2" t="n">
        <x:v>51500</x:v>
      </x:c>
    </x:row>
    <x:row r="13" ht="23" customHeight="1">
      <x:c r="A13" s="1" t="n">
        <x:v>2022</x:v>
      </x:c>
      <x:c r="B13" s="1" t="str">
        <x:v>Darwin</x:v>
      </x:c>
      <x:c r="C13" s="1" t="str">
        <x:v>Fogg Dam Conservation Reserve</x:v>
      </x:c>
      <x:c r="D13" s="2" t="n">
        <x:v>65700</x:v>
      </x:c>
    </x:row>
    <x:row r="14" ht="23" customHeight="1">
      <x:c r="A14" s="1" t="n">
        <x:v>2023</x:v>
      </x:c>
      <x:c r="B14" s="1" t="str">
        <x:v>Darwin</x:v>
      </x:c>
      <x:c r="C14" s="1" t="str">
        <x:v>Fogg Dam Conservation Reserve</x:v>
      </x:c>
      <x:c r="D14" s="2" t="n">
        <x:v>57400</x:v>
      </x:c>
    </x:row>
    <x:row r="15" ht="23" customHeight="1">
      <x:c r="A15" s="1" t="n">
        <x:v>2024</x:v>
      </x:c>
      <x:c r="B15" s="1" t="str">
        <x:v>Darwin</x:v>
      </x:c>
      <x:c r="C15" s="1" t="str">
        <x:v>Fogg Dam Conservation Reserve</x:v>
      </x:c>
      <x:c r="D15" s="2" t="n">
        <x:v>69300</x:v>
      </x:c>
    </x:row>
    <x:row r="16" ht="23" customHeight="1">
      <x:c r="A16" s="1" t="n">
        <x:v>2025</x:v>
      </x:c>
      <x:c r="B16" s="1" t="str">
        <x:v>Darwin</x:v>
      </x:c>
      <x:c r="C16" s="1" t="str">
        <x:v>Fogg Dam Conservation Reserve</x:v>
      </x:c>
      <x:c r="D16" s="2" t="n">
        <x:v>55700</x:v>
      </x:c>
    </x:row>
    <x:row r="17" ht="23" customHeight="1">
      <x:c r="A17" s="1" t="n">
        <x:v>2021</x:v>
      </x:c>
      <x:c r="B17" s="1" t="str">
        <x:v>Darwin</x:v>
      </x:c>
      <x:c r="C17" s="1" t="str">
        <x:v>Howard Springs Nature Park</x:v>
      </x:c>
      <x:c r="D17" s="2" t="n">
        <x:v>119600</x:v>
      </x:c>
    </x:row>
    <x:row r="18" ht="23" customHeight="1">
      <x:c r="A18" s="1" t="n">
        <x:v>2022</x:v>
      </x:c>
      <x:c r="B18" s="1" t="str">
        <x:v>Darwin</x:v>
      </x:c>
      <x:c r="C18" s="1" t="str">
        <x:v>Howard Springs Nature Park</x:v>
      </x:c>
      <x:c r="D18" s="2" t="n">
        <x:v>134500</x:v>
      </x:c>
    </x:row>
    <x:row r="19" ht="23" customHeight="1">
      <x:c r="A19" s="1" t="n">
        <x:v>2023</x:v>
      </x:c>
      <x:c r="B19" s="1" t="str">
        <x:v>Darwin</x:v>
      </x:c>
      <x:c r="C19" s="1" t="str">
        <x:v>Howard Springs Nature Park</x:v>
      </x:c>
      <x:c r="D19" s="2" t="n">
        <x:v>137800</x:v>
      </x:c>
    </x:row>
    <x:row r="20" ht="23" customHeight="1">
      <x:c r="A20" s="1" t="n">
        <x:v>2024</x:v>
      </x:c>
      <x:c r="B20" s="1" t="str">
        <x:v>Darwin</x:v>
      </x:c>
      <x:c r="C20" s="1" t="str">
        <x:v>Howard Springs Nature Park</x:v>
      </x:c>
      <x:c r="D20" s="2" t="n">
        <x:v>120700</x:v>
      </x:c>
    </x:row>
    <x:row r="21" ht="23" customHeight="1">
      <x:c r="A21" s="1" t="n">
        <x:v>2025</x:v>
      </x:c>
      <x:c r="B21" s="1" t="str">
        <x:v>Darwin</x:v>
      </x:c>
      <x:c r="C21" s="1" t="str">
        <x:v>Howard Springs Nature Park</x:v>
      </x:c>
      <x:c r="D21" s="2" t="n">
        <x:v>126600</x:v>
      </x:c>
    </x:row>
    <x:row r="22" ht="23" customHeight="1">
      <x:c r="A22" s="1" t="n">
        <x:v>2021</x:v>
      </x:c>
      <x:c r="B22" s="1" t="str">
        <x:v>Darwin</x:v>
      </x:c>
      <x:c r="C22" s="1" t="str">
        <x:v>Litchfield National Park - Whole of Park</x:v>
      </x:c>
      <x:c r="D22" s="2" t="n">
        <x:v>274400</x:v>
      </x:c>
    </x:row>
    <x:row r="23" ht="23" customHeight="1">
      <x:c r="A23" s="1" t="n">
        <x:v>2022</x:v>
      </x:c>
      <x:c r="B23" s="1" t="str">
        <x:v>Darwin</x:v>
      </x:c>
      <x:c r="C23" s="1" t="str">
        <x:v>Litchfield National Park - Whole of Park</x:v>
      </x:c>
      <x:c r="D23" s="2" t="n">
        <x:v>367600</x:v>
      </x:c>
    </x:row>
    <x:row r="24" ht="23" customHeight="1">
      <x:c r="A24" s="1" t="n">
        <x:v>2023</x:v>
      </x:c>
      <x:c r="B24" s="1" t="str">
        <x:v>Darwin</x:v>
      </x:c>
      <x:c r="C24" s="1" t="str">
        <x:v>Litchfield National Park - Whole of Park</x:v>
      </x:c>
      <x:c r="D24" s="2" t="n">
        <x:v>253400</x:v>
      </x:c>
    </x:row>
    <x:row r="25" ht="23" customHeight="1">
      <x:c r="A25" s="1" t="n">
        <x:v>2024</x:v>
      </x:c>
      <x:c r="B25" s="1" t="str">
        <x:v>Darwin</x:v>
      </x:c>
      <x:c r="C25" s="1" t="str">
        <x:v>Litchfield National Park - Whole of Park</x:v>
      </x:c>
      <x:c r="D25" s="2" t="n">
        <x:v>244200</x:v>
      </x:c>
    </x:row>
    <x:row r="26" ht="23" customHeight="1">
      <x:c r="A26" s="1" t="n">
        <x:v>2025</x:v>
      </x:c>
      <x:c r="B26" s="1" t="str">
        <x:v>Darwin</x:v>
      </x:c>
      <x:c r="C26" s="1" t="str">
        <x:v>Litchfield National Park - Whole of Park</x:v>
      </x:c>
      <x:c r="D26" s="2" t="n">
        <x:v>280100</x:v>
      </x:c>
    </x:row>
    <x:row r="27" ht="23" customHeight="1">
      <x:c r="A27" s="1" t="n">
        <x:v>2021</x:v>
      </x:c>
      <x:c r="B27" s="1" t="str">
        <x:v>Darwin</x:v>
      </x:c>
      <x:c r="C27" s="1" t="str">
        <x:v>Mary River National Park - Shady Camp Conservation Reserve</x:v>
      </x:c>
      <x:c r="D27" s="2" t="n">
        <x:v>37400</x:v>
      </x:c>
    </x:row>
    <x:row r="28" ht="23" customHeight="1">
      <x:c r="A28" s="1" t="n">
        <x:v>2022</x:v>
      </x:c>
      <x:c r="B28" s="1" t="str">
        <x:v>Darwin</x:v>
      </x:c>
      <x:c r="C28" s="1" t="str">
        <x:v>Mary River National Park - Shady Camp Conservation Reserve</x:v>
      </x:c>
      <x:c r="D28" s="2" t="n">
        <x:v>43500</x:v>
      </x:c>
    </x:row>
    <x:row r="29" ht="23" customHeight="1">
      <x:c r="A29" s="1" t="n">
        <x:v>2023</x:v>
      </x:c>
      <x:c r="B29" s="1" t="str">
        <x:v>Darwin</x:v>
      </x:c>
      <x:c r="C29" s="1" t="str">
        <x:v>Mary River National Park - Shady Camp Conservation Reserve</x:v>
      </x:c>
      <x:c r="D29" s="2" t="n">
        <x:v>39000</x:v>
      </x:c>
    </x:row>
    <x:row r="30" ht="23" customHeight="1">
      <x:c r="A30" s="1" t="n">
        <x:v>2024</x:v>
      </x:c>
      <x:c r="B30" s="1" t="str">
        <x:v>Darwin</x:v>
      </x:c>
      <x:c r="C30" s="1" t="str">
        <x:v>Mary River National Park - Shady Camp Conservation Reserve</x:v>
      </x:c>
      <x:c r="D30" s="2" t="n">
        <x:v>34400</x:v>
      </x:c>
    </x:row>
    <x:row r="31" ht="23" customHeight="1">
      <x:c r="A31" s="1" t="n">
        <x:v>2025</x:v>
      </x:c>
      <x:c r="B31" s="1" t="str">
        <x:v>Darwin</x:v>
      </x:c>
      <x:c r="C31" s="1" t="str">
        <x:v>Mary River National Park - Shady Camp Conservation Reserve</x:v>
      </x:c>
      <x:c r="D31" s="2" t="n">
        <x:v>32300</x:v>
      </x:c>
    </x:row>
    <x:row r="32" ht="23" customHeight="1">
      <x:c r="A32" s="1" t="n">
        <x:v>2021</x:v>
      </x:c>
      <x:c r="B32" s="1" t="str">
        <x:v>Katherine</x:v>
      </x:c>
      <x:c r="C32" s="1" t="str">
        <x:v>Cutta Cutta Caves Nature Park</x:v>
      </x:c>
      <x:c r="D32" s="2" t="n">
        <x:v>13400</x:v>
      </x:c>
    </x:row>
    <x:row r="33" ht="23" customHeight="1">
      <x:c r="A33" s="1" t="n">
        <x:v>2022</x:v>
      </x:c>
      <x:c r="B33" s="1" t="str">
        <x:v>Katherine</x:v>
      </x:c>
      <x:c r="C33" s="1" t="str">
        <x:v>Cutta Cutta Caves Nature Park</x:v>
      </x:c>
      <x:c r="D33" s="2" t="n">
        <x:v>17200</x:v>
      </x:c>
    </x:row>
    <x:row r="34" ht="23" customHeight="1">
      <x:c r="A34" s="1" t="n">
        <x:v>2023</x:v>
      </x:c>
      <x:c r="B34" s="1" t="str">
        <x:v>Katherine</x:v>
      </x:c>
      <x:c r="C34" s="1" t="str">
        <x:v>Cutta Cutta Caves Nature Park</x:v>
      </x:c>
      <x:c r="D34" s="2" t="n">
        <x:v>11500</x:v>
      </x:c>
    </x:row>
    <x:row r="35" ht="23" customHeight="1">
      <x:c r="A35" s="1" t="n">
        <x:v>2024</x:v>
      </x:c>
      <x:c r="B35" s="1" t="str">
        <x:v>Katherine</x:v>
      </x:c>
      <x:c r="C35" s="1" t="str">
        <x:v>Cutta Cutta Caves Nature Park</x:v>
      </x:c>
      <x:c r="D35" s="2" t="n">
        <x:v>10200</x:v>
      </x:c>
    </x:row>
    <x:row r="36" ht="23" customHeight="1">
      <x:c r="A36" s="1" t="n">
        <x:v>2025</x:v>
      </x:c>
      <x:c r="B36" s="1" t="str">
        <x:v>Katherine</x:v>
      </x:c>
      <x:c r="C36" s="1" t="str">
        <x:v>Cutta Cutta Caves Nature Park</x:v>
      </x:c>
      <x:c r="D36" s="2" t="n">
        <x:v>10400</x:v>
      </x:c>
    </x:row>
    <x:row r="37" ht="23" customHeight="1">
      <x:c r="A37" s="1" t="n">
        <x:v>2021</x:v>
      </x:c>
      <x:c r="B37" s="1" t="str">
        <x:v>Katherine</x:v>
      </x:c>
      <x:c r="C37" s="1" t="str">
        <x:v>Elsey National Park - Whole of Park</x:v>
      </x:c>
      <x:c r="D37" s="2" t="n">
        <x:v>232500</x:v>
      </x:c>
    </x:row>
    <x:row r="38" ht="23" customHeight="1">
      <x:c r="A38" s="1" t="n">
        <x:v>2022</x:v>
      </x:c>
      <x:c r="B38" s="1" t="str">
        <x:v>Katherine</x:v>
      </x:c>
      <x:c r="C38" s="1" t="str">
        <x:v>Elsey National Park - Whole of Park</x:v>
      </x:c>
      <x:c r="D38" s="2" t="n">
        <x:v>207700</x:v>
      </x:c>
    </x:row>
    <x:row r="39" ht="23" customHeight="1">
      <x:c r="A39" s="1" t="n">
        <x:v>2023</x:v>
      </x:c>
      <x:c r="B39" s="1" t="str">
        <x:v>Katherine</x:v>
      </x:c>
      <x:c r="C39" s="1" t="str">
        <x:v>Elsey National Park - Whole of Park</x:v>
      </x:c>
      <x:c r="D39" s="2" t="n">
        <x:v>255400</x:v>
      </x:c>
    </x:row>
    <x:row r="40" ht="23" customHeight="1">
      <x:c r="A40" s="1" t="n">
        <x:v>2024</x:v>
      </x:c>
      <x:c r="B40" s="1" t="str">
        <x:v>Katherine</x:v>
      </x:c>
      <x:c r="C40" s="1" t="str">
        <x:v>Elsey National Park - Whole of Park</x:v>
      </x:c>
      <x:c r="D40" s="2" t="n">
        <x:v>201600</x:v>
      </x:c>
    </x:row>
    <x:row r="41" ht="23" customHeight="1">
      <x:c r="A41" s="1" t="n">
        <x:v>2025</x:v>
      </x:c>
      <x:c r="B41" s="1" t="str">
        <x:v>Katherine</x:v>
      </x:c>
      <x:c r="C41" s="1" t="str">
        <x:v>Elsey National Park - Whole of Park</x:v>
      </x:c>
      <x:c r="D41" s="2" t="n">
        <x:v>146800</x:v>
      </x:c>
    </x:row>
    <x:row r="42" ht="23" customHeight="1">
      <x:c r="A42" s="1" t="n">
        <x:v>2021</x:v>
      </x:c>
      <x:c r="B42" s="1" t="str">
        <x:v>Katherine</x:v>
      </x:c>
      <x:c r="C42" s="1" t="str">
        <x:v>Judbarra/Gregory National Park - Whole of Park</x:v>
      </x:c>
      <x:c r="D42" s="2" t="n">
        <x:v>48000</x:v>
      </x:c>
    </x:row>
    <x:row r="43" ht="23" customHeight="1">
      <x:c r="A43" s="1" t="n">
        <x:v>2022</x:v>
      </x:c>
      <x:c r="B43" s="1" t="str">
        <x:v>Katherine</x:v>
      </x:c>
      <x:c r="C43" s="1" t="str">
        <x:v>Judbarra/Gregory National Park - Whole of Park</x:v>
      </x:c>
      <x:c r="D43" s="2" t="n">
        <x:v>49600</x:v>
      </x:c>
    </x:row>
    <x:row r="44" ht="23" customHeight="1">
      <x:c r="A44" s="1" t="n">
        <x:v>2023</x:v>
      </x:c>
      <x:c r="B44" s="1" t="str">
        <x:v>Katherine</x:v>
      </x:c>
      <x:c r="C44" s="1" t="str">
        <x:v>Judbarra/Gregory National Park - Whole of Park</x:v>
      </x:c>
      <x:c r="D44" s="2" t="n">
        <x:v>46000</x:v>
      </x:c>
    </x:row>
    <x:row r="45" ht="23" customHeight="1">
      <x:c r="A45" s="1" t="n">
        <x:v>2024</x:v>
      </x:c>
      <x:c r="B45" s="1" t="str">
        <x:v>Katherine</x:v>
      </x:c>
      <x:c r="C45" s="1" t="str">
        <x:v>Judbarra/Gregory National Park - Whole of Park</x:v>
      </x:c>
      <x:c r="D45" s="2" t="n">
        <x:v>37300</x:v>
      </x:c>
    </x:row>
    <x:row r="46" ht="23" customHeight="1">
      <x:c r="A46" s="1" t="n">
        <x:v>2025</x:v>
      </x:c>
      <x:c r="B46" s="1" t="str">
        <x:v>Katherine</x:v>
      </x:c>
      <x:c r="C46" s="1" t="str">
        <x:v>Judbarra/Gregory National Park - Whole of Park</x:v>
      </x:c>
      <x:c r="D46" s="2" t="n">
        <x:v>43900</x:v>
      </x:c>
    </x:row>
    <x:row r="47" ht="23" customHeight="1">
      <x:c r="A47" s="1" t="n">
        <x:v>2021</x:v>
      </x:c>
      <x:c r="B47" s="1" t="str">
        <x:v>Katherine</x:v>
      </x:c>
      <x:c r="C47" s="1" t="str">
        <x:v>Keep River National Park</x:v>
      </x:c>
      <x:c r="D47" s="2" t="n">
        <x:v>20200</x:v>
      </x:c>
    </x:row>
    <x:row r="48" ht="23" customHeight="1">
      <x:c r="A48" s="1" t="n">
        <x:v>2022</x:v>
      </x:c>
      <x:c r="B48" s="1" t="str">
        <x:v>Katherine</x:v>
      </x:c>
      <x:c r="C48" s="1" t="str">
        <x:v>Keep River National Park</x:v>
      </x:c>
      <x:c r="D48" s="2" t="n">
        <x:v>23200</x:v>
      </x:c>
    </x:row>
    <x:row r="49" ht="23" customHeight="1">
      <x:c r="A49" s="1" t="n">
        <x:v>2023</x:v>
      </x:c>
      <x:c r="B49" s="1" t="str">
        <x:v>Katherine</x:v>
      </x:c>
      <x:c r="C49" s="1" t="str">
        <x:v>Keep River National Park</x:v>
      </x:c>
      <x:c r="D49" s="2" t="n">
        <x:v>11700</x:v>
      </x:c>
    </x:row>
    <x:row r="50" ht="23" customHeight="1">
      <x:c r="A50" s="1" t="n">
        <x:v>2024</x:v>
      </x:c>
      <x:c r="B50" s="1" t="str">
        <x:v>Katherine</x:v>
      </x:c>
      <x:c r="C50" s="1" t="str">
        <x:v>Keep River National Park</x:v>
      </x:c>
      <x:c r="D50" s="2" t="n">
        <x:v>14100</x:v>
      </x:c>
    </x:row>
    <x:row r="51" ht="23" customHeight="1">
      <x:c r="A51" s="1" t="n">
        <x:v>2025</x:v>
      </x:c>
      <x:c r="B51" s="1" t="str">
        <x:v>Katherine</x:v>
      </x:c>
      <x:c r="C51" s="1" t="str">
        <x:v>Keep River National Park</x:v>
      </x:c>
      <x:c r="D51" s="2" t="n">
        <x:v>13400</x:v>
      </x:c>
    </x:row>
    <x:row r="52" ht="23" customHeight="1">
      <x:c r="A52" s="1" t="n">
        <x:v>2021</x:v>
      </x:c>
      <x:c r="B52" s="1" t="str">
        <x:v>Katherine</x:v>
      </x:c>
      <x:c r="C52" s="1" t="str">
        <x:v>Limmen National Park - Hodgson River Crossing</x:v>
      </x:c>
      <x:c r="D52" s="2" t="n">
        <x:v>11600</x:v>
      </x:c>
    </x:row>
    <x:row r="53" ht="23" customHeight="1">
      <x:c r="A53" s="1" t="n">
        <x:v>2022</x:v>
      </x:c>
      <x:c r="B53" s="1" t="str">
        <x:v>Katherine</x:v>
      </x:c>
      <x:c r="C53" s="1" t="str">
        <x:v>Limmen National Park - Hodgson River Crossing</x:v>
      </x:c>
      <x:c r="D53" s="2" t="n">
        <x:v>10100</x:v>
      </x:c>
    </x:row>
    <x:row r="54" ht="23" customHeight="1">
      <x:c r="A54" s="1" t="n">
        <x:v>2023</x:v>
      </x:c>
      <x:c r="B54" s="1" t="str">
        <x:v>Katherine</x:v>
      </x:c>
      <x:c r="C54" s="1" t="str">
        <x:v>Limmen National Park - Hodgson River Crossing</x:v>
      </x:c>
      <x:c r="D54" s="2" t="n">
        <x:v>9400</x:v>
      </x:c>
    </x:row>
    <x:row r="55" ht="23" customHeight="1">
      <x:c r="A55" s="1" t="n">
        <x:v>2024</x:v>
      </x:c>
      <x:c r="B55" s="1" t="str">
        <x:v>Katherine</x:v>
      </x:c>
      <x:c r="C55" s="1" t="str">
        <x:v>Limmen National Park - Hodgson River Crossing</x:v>
      </x:c>
      <x:c r="D55" s="2" t="n">
        <x:v>9800</x:v>
      </x:c>
    </x:row>
    <x:row r="56" ht="23" customHeight="1">
      <x:c r="A56" s="1" t="n">
        <x:v>2025</x:v>
      </x:c>
      <x:c r="B56" s="1" t="str">
        <x:v>Katherine</x:v>
      </x:c>
      <x:c r="C56" s="1" t="str">
        <x:v>Limmen National Park - Hodgson River Crossing</x:v>
      </x:c>
      <x:c r="D56" s="2" t="n">
        <x:v>9600</x:v>
      </x:c>
    </x:row>
    <x:row r="57" ht="23" customHeight="1">
      <x:c r="A57" s="1" t="n">
        <x:v>2021</x:v>
      </x:c>
      <x:c r="B57" s="1" t="str">
        <x:v>Katherine</x:v>
      </x:c>
      <x:c r="C57" s="1" t="str">
        <x:v>Nitmiluk National Park - Whole of Park</x:v>
      </x:c>
      <x:c r="D57" s="2" t="n">
        <x:v>271700</x:v>
      </x:c>
    </x:row>
    <x:row r="58" ht="23" customHeight="1">
      <x:c r="A58" s="1" t="n">
        <x:v>2022</x:v>
      </x:c>
      <x:c r="B58" s="1" t="str">
        <x:v>Katherine</x:v>
      </x:c>
      <x:c r="C58" s="1" t="str">
        <x:v>Nitmiluk National Park - Whole of Park</x:v>
      </x:c>
      <x:c r="D58" s="2" t="n">
        <x:v>309800</x:v>
      </x:c>
    </x:row>
    <x:row r="59" ht="23" customHeight="1">
      <x:c r="A59" s="1" t="n">
        <x:v>2023</x:v>
      </x:c>
      <x:c r="B59" s="1" t="str">
        <x:v>Katherine</x:v>
      </x:c>
      <x:c r="C59" s="1" t="str">
        <x:v>Nitmiluk National Park - Whole of Park</x:v>
      </x:c>
      <x:c r="D59" s="2" t="n">
        <x:v>266200</x:v>
      </x:c>
    </x:row>
    <x:row r="60" ht="23" customHeight="1">
      <x:c r="A60" s="1" t="n">
        <x:v>2024</x:v>
      </x:c>
      <x:c r="B60" s="1" t="str">
        <x:v>Katherine</x:v>
      </x:c>
      <x:c r="C60" s="1" t="str">
        <x:v>Nitmiluk National Park - Whole of Park</x:v>
      </x:c>
      <x:c r="D60" s="2" t="n">
        <x:v>259800</x:v>
      </x:c>
    </x:row>
    <x:row r="61" ht="23" customHeight="1">
      <x:c r="A61" s="1" t="n">
        <x:v>2025</x:v>
      </x:c>
      <x:c r="B61" s="1" t="str">
        <x:v>Katherine</x:v>
      </x:c>
      <x:c r="C61" s="1" t="str">
        <x:v>Nitmiluk National Park - Whole of Park</x:v>
      </x:c>
      <x:c r="D61" s="2" t="n">
        <x:v>251200</x:v>
      </x:c>
    </x:row>
    <x:row r="62" ht="23" customHeight="1">
      <x:c r="A62" s="1" t="n">
        <x:v>2021</x:v>
      </x:c>
      <x:c r="B62" s="1" t="str">
        <x:v>Barkly</x:v>
      </x:c>
      <x:c r="C62" s="1" t="str">
        <x:v>Karlu Karlu (Devils Marbles) Conservation Reserve</x:v>
      </x:c>
      <x:c r="D62" s="2" t="n">
        <x:v>146300</x:v>
      </x:c>
    </x:row>
    <x:row r="63" ht="23" customHeight="1">
      <x:c r="A63" s="1" t="n">
        <x:v>2022</x:v>
      </x:c>
      <x:c r="B63" s="1" t="str">
        <x:v>Barkly</x:v>
      </x:c>
      <x:c r="C63" s="1" t="str">
        <x:v>Karlu Karlu (Devils Marbles) Conservation Reserve</x:v>
      </x:c>
      <x:c r="D63" s="2" t="n">
        <x:v>99400</x:v>
      </x:c>
    </x:row>
    <x:row r="64" ht="23" customHeight="1">
      <x:c r="A64" s="1" t="n">
        <x:v>2023</x:v>
      </x:c>
      <x:c r="B64" s="1" t="str">
        <x:v>Barkly</x:v>
      </x:c>
      <x:c r="C64" s="1" t="str">
        <x:v>Karlu Karlu (Devils Marbles) Conservation Reserve</x:v>
      </x:c>
      <x:c r="D64" s="2" t="n">
        <x:v>225200</x:v>
      </x:c>
    </x:row>
    <x:row r="65" ht="23" customHeight="1">
      <x:c r="A65" s="1" t="n">
        <x:v>2024</x:v>
      </x:c>
      <x:c r="B65" s="1" t="str">
        <x:v>Barkly</x:v>
      </x:c>
      <x:c r="C65" s="1" t="str">
        <x:v>Karlu Karlu (Devils Marbles) Conservation Reserve</x:v>
      </x:c>
      <x:c r="D65" s="2" t="n">
        <x:v>98800</x:v>
      </x:c>
    </x:row>
    <x:row r="66" ht="23" customHeight="1">
      <x:c r="A66" s="1" t="n">
        <x:v>2025</x:v>
      </x:c>
      <x:c r="B66" s="1" t="str">
        <x:v>Barkly</x:v>
      </x:c>
      <x:c r="C66" s="1" t="str">
        <x:v>Karlu Karlu (Devils Marbles) Conservation Reserve</x:v>
      </x:c>
      <x:c r="D66" s="2" t="n">
        <x:v>110100</x:v>
      </x:c>
    </x:row>
    <x:row r="67" ht="23" customHeight="1">
      <x:c r="A67" s="1" t="n">
        <x:v>2021</x:v>
      </x:c>
      <x:c r="B67" s="1" t="str">
        <x:v>Barkly</x:v>
      </x:c>
      <x:c r="C67" s="1" t="str">
        <x:v>Tennant Creek Telegraph Station</x:v>
      </x:c>
      <x:c r="D67" s="2" t="n">
        <x:v>15200</x:v>
      </x:c>
    </x:row>
    <x:row r="68" ht="23" customHeight="1">
      <x:c r="A68" s="1" t="n">
        <x:v>2022</x:v>
      </x:c>
      <x:c r="B68" s="1" t="str">
        <x:v>Barkly</x:v>
      </x:c>
      <x:c r="C68" s="1" t="str">
        <x:v>Tennant Creek Telegraph Station</x:v>
      </x:c>
      <x:c r="D68" s="2" t="n">
        <x:v>19600</x:v>
      </x:c>
    </x:row>
    <x:row r="69" ht="23" customHeight="1">
      <x:c r="A69" s="1" t="n">
        <x:v>2023</x:v>
      </x:c>
      <x:c r="B69" s="1" t="str">
        <x:v>Barkly</x:v>
      </x:c>
      <x:c r="C69" s="1" t="str">
        <x:v>Tennant Creek Telegraph Station</x:v>
      </x:c>
      <x:c r="D69" s="2" t="n">
        <x:v>14000</x:v>
      </x:c>
    </x:row>
    <x:row r="70" ht="23" customHeight="1">
      <x:c r="A70" s="1" t="n">
        <x:v>2024</x:v>
      </x:c>
      <x:c r="B70" s="1" t="str">
        <x:v>Barkly</x:v>
      </x:c>
      <x:c r="C70" s="1" t="str">
        <x:v>Tennant Creek Telegraph Station</x:v>
      </x:c>
      <x:c r="D70" s="2" t="n">
        <x:v>19300</x:v>
      </x:c>
    </x:row>
    <x:row r="71" ht="23" customHeight="1">
      <x:c r="A71" s="1" t="n">
        <x:v>2025</x:v>
      </x:c>
      <x:c r="B71" s="1" t="str">
        <x:v>Barkly</x:v>
      </x:c>
      <x:c r="C71" s="1" t="str">
        <x:v>Tennant Creek Telegraph Station</x:v>
      </x:c>
      <x:c r="D71" s="2" t="n">
        <x:v>18300</x:v>
      </x:c>
    </x:row>
    <x:row r="72" ht="23" customHeight="1">
      <x:c r="A72" s="1" t="n">
        <x:v>2021</x:v>
      </x:c>
      <x:c r="B72" s="1" t="str">
        <x:v>Alice Springs</x:v>
      </x:c>
      <x:c r="C72" s="1" t="str">
        <x:v>Alice Springs Telegraph Station Historical Reserve</x:v>
      </x:c>
      <x:c r="D72" s="2" t="n">
        <x:v>183400</x:v>
      </x:c>
    </x:row>
    <x:row r="73" ht="23" customHeight="1">
      <x:c r="A73" s="1" t="n">
        <x:v>2022</x:v>
      </x:c>
      <x:c r="B73" s="1" t="str">
        <x:v>Alice Springs</x:v>
      </x:c>
      <x:c r="C73" s="1" t="str">
        <x:v>Alice Springs Telegraph Station Historical Reserve</x:v>
      </x:c>
      <x:c r="D73" s="2" t="n">
        <x:v>187400</x:v>
      </x:c>
    </x:row>
    <x:row r="74" ht="23" customHeight="1">
      <x:c r="A74" s="1" t="n">
        <x:v>2023</x:v>
      </x:c>
      <x:c r="B74" s="1" t="str">
        <x:v>Alice Springs</x:v>
      </x:c>
      <x:c r="C74" s="1" t="str">
        <x:v>Alice Springs Telegraph Station Historical Reserve</x:v>
      </x:c>
      <x:c r="D74" s="2" t="n">
        <x:v>180200</x:v>
      </x:c>
    </x:row>
    <x:row r="75" ht="23" customHeight="1">
      <x:c r="A75" s="1" t="n">
        <x:v>2024</x:v>
      </x:c>
      <x:c r="B75" s="1" t="str">
        <x:v>Alice Springs</x:v>
      </x:c>
      <x:c r="C75" s="1" t="str">
        <x:v>Alice Springs Telegraph Station Historical Reserve</x:v>
      </x:c>
      <x:c r="D75" s="2" t="n">
        <x:v>142900</x:v>
      </x:c>
    </x:row>
    <x:row r="76" ht="23" customHeight="1">
      <x:c r="A76" s="1" t="n">
        <x:v>2025</x:v>
      </x:c>
      <x:c r="B76" s="1" t="str">
        <x:v>Alice Springs</x:v>
      </x:c>
      <x:c r="C76" s="1" t="str">
        <x:v>Alice Springs Telegraph Station Historical Reserve</x:v>
      </x:c>
      <x:c r="D76" s="2" t="n">
        <x:v>197800</x:v>
      </x:c>
    </x:row>
    <x:row r="77" ht="23" customHeight="1">
      <x:c r="A77" s="1" t="n">
        <x:v>2021</x:v>
      </x:c>
      <x:c r="B77" s="1" t="str">
        <x:v>Alice Springs</x:v>
      </x:c>
      <x:c r="C77" s="1" t="str">
        <x:v>Arltunga Historical Reserve</x:v>
      </x:c>
      <x:c r="D77" s="2" t="n">
        <x:v>7300</x:v>
      </x:c>
    </x:row>
    <x:row r="78" ht="23" customHeight="1">
      <x:c r="A78" s="1" t="n">
        <x:v>2022</x:v>
      </x:c>
      <x:c r="B78" s="1" t="str">
        <x:v>Alice Springs</x:v>
      </x:c>
      <x:c r="C78" s="1" t="str">
        <x:v>Arltunga Historical Reserve</x:v>
      </x:c>
      <x:c r="D78" s="2" t="n">
        <x:v>11700</x:v>
      </x:c>
    </x:row>
    <x:row r="79" ht="23" customHeight="1">
      <x:c r="A79" s="1" t="n">
        <x:v>2023</x:v>
      </x:c>
      <x:c r="B79" s="1" t="str">
        <x:v>Alice Springs</x:v>
      </x:c>
      <x:c r="C79" s="1" t="str">
        <x:v>Arltunga Historical Reserve</x:v>
      </x:c>
      <x:c r="D79" s="2" t="n">
        <x:v>10700</x:v>
      </x:c>
    </x:row>
    <x:row r="80" ht="23" customHeight="1">
      <x:c r="A80" s="1" t="n">
        <x:v>2024</x:v>
      </x:c>
      <x:c r="B80" s="1" t="str">
        <x:v>Alice Springs</x:v>
      </x:c>
      <x:c r="C80" s="1" t="str">
        <x:v>Arltunga Historical Reserve</x:v>
      </x:c>
      <x:c r="D80" s="2" t="n">
        <x:v>10800</x:v>
      </x:c>
    </x:row>
    <x:row r="81" ht="23" customHeight="1">
      <x:c r="A81" s="1" t="n">
        <x:v>2025</x:v>
      </x:c>
      <x:c r="B81" s="1" t="str">
        <x:v>Alice Springs</x:v>
      </x:c>
      <x:c r="C81" s="1" t="str">
        <x:v>Arltunga Historical Reserve</x:v>
      </x:c>
      <x:c r="D81" s="2" t="n">
        <x:v>41800</x:v>
      </x:c>
    </x:row>
    <x:row r="82" ht="23" customHeight="1">
      <x:c r="A82" s="1" t="n">
        <x:v>2021</x:v>
      </x:c>
      <x:c r="B82" s="1" t="str">
        <x:v>Alice Springs</x:v>
      </x:c>
      <x:c r="C82" s="1" t="str">
        <x:v>Chambers Pillar Historical Reserve</x:v>
      </x:c>
      <x:c r="D82" s="2" t="n">
        <x:v>3700</x:v>
      </x:c>
    </x:row>
    <x:row r="83" ht="23" customHeight="1">
      <x:c r="A83" s="1" t="n">
        <x:v>2022</x:v>
      </x:c>
      <x:c r="B83" s="1" t="str">
        <x:v>Alice Springs</x:v>
      </x:c>
      <x:c r="C83" s="1" t="str">
        <x:v>Chambers Pillar Historical Reserve</x:v>
      </x:c>
      <x:c r="D83" s="2" t="n">
        <x:v>3000</x:v>
      </x:c>
    </x:row>
    <x:row r="84" ht="23" customHeight="1">
      <x:c r="A84" s="1" t="n">
        <x:v>2023</x:v>
      </x:c>
      <x:c r="B84" s="1" t="str">
        <x:v>Alice Springs</x:v>
      </x:c>
      <x:c r="C84" s="1" t="str">
        <x:v>Chambers Pillar Historical Reserve</x:v>
      </x:c>
      <x:c r="D84" s="2" t="n">
        <x:v>2500</x:v>
      </x:c>
    </x:row>
    <x:row r="85" ht="23" customHeight="1">
      <x:c r="A85" s="1" t="n">
        <x:v>2024</x:v>
      </x:c>
      <x:c r="B85" s="1" t="str">
        <x:v>Alice Springs</x:v>
      </x:c>
      <x:c r="C85" s="1" t="str">
        <x:v>Chambers Pillar Historical Reserve</x:v>
      </x:c>
      <x:c r="D85" s="2" t="n">
        <x:v>2000</x:v>
      </x:c>
    </x:row>
    <x:row r="86" ht="23" customHeight="1">
      <x:c r="A86" s="1" t="n">
        <x:v>2025</x:v>
      </x:c>
      <x:c r="B86" s="1" t="str">
        <x:v>Alice Springs</x:v>
      </x:c>
      <x:c r="C86" s="1" t="str">
        <x:v>Chambers Pillar Historical Reserve</x:v>
      </x:c>
      <x:c r="D86" s="2" t="n">
        <x:v>2200</x:v>
      </x:c>
    </x:row>
    <x:row r="87" ht="23" customHeight="1">
      <x:c r="A87" s="1" t="n">
        <x:v>2021</x:v>
      </x:c>
      <x:c r="B87" s="1" t="str">
        <x:v>Alice Springs</x:v>
      </x:c>
      <x:c r="C87" s="1" t="str">
        <x:v>Finke Gorge National Park</x:v>
      </x:c>
      <x:c r="D87" s="2" t="n">
        <x:v>18100</x:v>
      </x:c>
    </x:row>
    <x:row r="88" ht="23" customHeight="1">
      <x:c r="A88" s="1" t="n">
        <x:v>2022</x:v>
      </x:c>
      <x:c r="B88" s="1" t="str">
        <x:v>Alice Springs</x:v>
      </x:c>
      <x:c r="C88" s="1" t="str">
        <x:v>Finke Gorge National Park</x:v>
      </x:c>
      <x:c r="D88" s="2" t="n">
        <x:v>18000</x:v>
      </x:c>
    </x:row>
    <x:row r="89" ht="23" customHeight="1">
      <x:c r="A89" s="1" t="n">
        <x:v>2023</x:v>
      </x:c>
      <x:c r="B89" s="1" t="str">
        <x:v>Alice Springs</x:v>
      </x:c>
      <x:c r="C89" s="1" t="str">
        <x:v>Finke Gorge National Park</x:v>
      </x:c>
      <x:c r="D89" s="2" t="n">
        <x:v>14400</x:v>
      </x:c>
    </x:row>
    <x:row r="90" ht="23" customHeight="1">
      <x:c r="A90" s="1" t="n">
        <x:v>2024</x:v>
      </x:c>
      <x:c r="B90" s="1" t="str">
        <x:v>Alice Springs</x:v>
      </x:c>
      <x:c r="C90" s="1" t="str">
        <x:v>Finke Gorge National Park</x:v>
      </x:c>
      <x:c r="D90" s="2" t="n">
        <x:v>13400</x:v>
      </x:c>
    </x:row>
    <x:row r="91" ht="23" customHeight="1">
      <x:c r="A91" s="1" t="n">
        <x:v>2025</x:v>
      </x:c>
      <x:c r="B91" s="1" t="str">
        <x:v>Alice Springs</x:v>
      </x:c>
      <x:c r="C91" s="1" t="str">
        <x:v>Finke Gorge National Park</x:v>
      </x:c>
      <x:c r="D91" s="2" t="n">
        <x:v>19000</x:v>
      </x:c>
    </x:row>
    <x:row r="92" ht="23" customHeight="1">
      <x:c r="A92" s="1" t="n">
        <x:v>2021</x:v>
      </x:c>
      <x:c r="B92" s="1" t="str">
        <x:v>Alice Springs</x:v>
      </x:c>
      <x:c r="C92" s="1" t="str">
        <x:v>Rainbow Valley Conservation Reserve</x:v>
      </x:c>
      <x:c r="D92" s="2" t="n">
        <x:v>10300</x:v>
      </x:c>
    </x:row>
    <x:row r="93" ht="23" customHeight="1">
      <x:c r="A93" s="1" t="n">
        <x:v>2022</x:v>
      </x:c>
      <x:c r="B93" s="1" t="str">
        <x:v>Alice Springs</x:v>
      </x:c>
      <x:c r="C93" s="1" t="str">
        <x:v>Rainbow Valley Conservation Reserve</x:v>
      </x:c>
      <x:c r="D93" s="2" t="n">
        <x:v>8200</x:v>
      </x:c>
    </x:row>
    <x:row r="94" ht="23" customHeight="1">
      <x:c r="A94" s="1" t="n">
        <x:v>2023</x:v>
      </x:c>
      <x:c r="B94" s="1" t="str">
        <x:v>Alice Springs</x:v>
      </x:c>
      <x:c r="C94" s="1" t="str">
        <x:v>Rainbow Valley Conservation Reserve</x:v>
      </x:c>
      <x:c r="D94" s="2" t="n">
        <x:v>8000</x:v>
      </x:c>
    </x:row>
    <x:row r="95" ht="23" customHeight="1">
      <x:c r="A95" s="1" t="n">
        <x:v>2024</x:v>
      </x:c>
      <x:c r="B95" s="1" t="str">
        <x:v>Alice Springs</x:v>
      </x:c>
      <x:c r="C95" s="1" t="str">
        <x:v>Rainbow Valley Conservation Reserve</x:v>
      </x:c>
      <x:c r="D95" s="2" t="n">
        <x:v>6500</x:v>
      </x:c>
    </x:row>
    <x:row r="96" ht="23" customHeight="1">
      <x:c r="A96" s="1" t="n">
        <x:v>2025</x:v>
      </x:c>
      <x:c r="B96" s="1" t="str">
        <x:v>Alice Springs</x:v>
      </x:c>
      <x:c r="C96" s="1" t="str">
        <x:v>Rainbow Valley Conservation Reserve</x:v>
      </x:c>
      <x:c r="D96" s="2" t="n">
        <x:v>7000</x:v>
      </x:c>
    </x:row>
    <x:row r="97" ht="23" customHeight="1">
      <x:c r="A97" s="1" t="n">
        <x:v>2021</x:v>
      </x:c>
      <x:c r="B97" s="1" t="str">
        <x:v>Alice Springs</x:v>
      </x:c>
      <x:c r="C97" s="1" t="str">
        <x:v>Trephina Gorge Nature Park</x:v>
      </x:c>
      <x:c r="D97" s="2" t="n">
        <x:v>25600</x:v>
      </x:c>
    </x:row>
    <x:row r="98" ht="23" customHeight="1">
      <x:c r="A98" s="1" t="n">
        <x:v>2022</x:v>
      </x:c>
      <x:c r="B98" s="1" t="str">
        <x:v>Alice Springs</x:v>
      </x:c>
      <x:c r="C98" s="1" t="str">
        <x:v>Trephina Gorge Nature Park</x:v>
      </x:c>
      <x:c r="D98" s="2" t="n">
        <x:v>25700</x:v>
      </x:c>
    </x:row>
    <x:row r="99" ht="23" customHeight="1">
      <x:c r="A99" s="1" t="n">
        <x:v>2023</x:v>
      </x:c>
      <x:c r="B99" s="1" t="str">
        <x:v>Alice Springs</x:v>
      </x:c>
      <x:c r="C99" s="1" t="str">
        <x:v>Trephina Gorge Nature Park</x:v>
      </x:c>
      <x:c r="D99" s="2" t="n">
        <x:v>32100</x:v>
      </x:c>
    </x:row>
    <x:row r="100" ht="23" customHeight="1">
      <x:c r="A100" s="1" t="n">
        <x:v>2024</x:v>
      </x:c>
      <x:c r="B100" s="1" t="str">
        <x:v>Alice Springs</x:v>
      </x:c>
      <x:c r="C100" s="1" t="str">
        <x:v>Trephina Gorge Nature Park</x:v>
      </x:c>
      <x:c r="D100" s="2" t="n">
        <x:v>33800</x:v>
      </x:c>
    </x:row>
    <x:row r="101" ht="23" customHeight="1">
      <x:c r="A101" s="1" t="n">
        <x:v>2025</x:v>
      </x:c>
      <x:c r="B101" s="1" t="str">
        <x:v>Alice Springs</x:v>
      </x:c>
      <x:c r="C101" s="1" t="str">
        <x:v>Trephina Gorge Nature Park</x:v>
      </x:c>
      <x:c r="D101" s="2" t="n">
        <x:v>38500</x:v>
      </x:c>
    </x:row>
    <x:row r="102" ht="23" customHeight="1">
      <x:c r="A102" s="1" t="n">
        <x:v>2021</x:v>
      </x:c>
      <x:c r="B102" s="1" t="str">
        <x:v>Alice Springs</x:v>
      </x:c>
      <x:c r="C102" s="1" t="str">
        <x:v>Watarrka National Park</x:v>
      </x:c>
      <x:c r="D102" s="2" t="n">
        <x:v>113800</x:v>
      </x:c>
    </x:row>
    <x:row r="103" ht="23" customHeight="1">
      <x:c r="A103" s="1" t="n">
        <x:v>2022</x:v>
      </x:c>
      <x:c r="B103" s="1" t="str">
        <x:v>Alice Springs</x:v>
      </x:c>
      <x:c r="C103" s="1" t="str">
        <x:v>Watarrka National Park</x:v>
      </x:c>
      <x:c r="D103" s="2" t="n">
        <x:v>196700</x:v>
      </x:c>
    </x:row>
    <x:row r="104" ht="23" customHeight="1">
      <x:c r="A104" s="1" t="n">
        <x:v>2023</x:v>
      </x:c>
      <x:c r="B104" s="1" t="str">
        <x:v>Alice Springs</x:v>
      </x:c>
      <x:c r="C104" s="1" t="str">
        <x:v>Watarrka National Park</x:v>
      </x:c>
      <x:c r="D104" s="2" t="n">
        <x:v>186800</x:v>
      </x:c>
    </x:row>
    <x:row r="105" ht="23" customHeight="1">
      <x:c r="A105" s="1" t="n">
        <x:v>2024</x:v>
      </x:c>
      <x:c r="B105" s="1" t="str">
        <x:v>Alice Springs</x:v>
      </x:c>
      <x:c r="C105" s="1" t="str">
        <x:v>Watarrka National Park</x:v>
      </x:c>
      <x:c r="D105" s="2" t="n">
        <x:v>193500</x:v>
      </x:c>
    </x:row>
    <x:row r="106" ht="23" customHeight="1">
      <x:c r="A106" s="1" t="n">
        <x:v>2025</x:v>
      </x:c>
      <x:c r="B106" s="1" t="str">
        <x:v>Alice Springs</x:v>
      </x:c>
      <x:c r="C106" s="1" t="str">
        <x:v>Watarrka National Park</x:v>
      </x:c>
      <x:c r="D106" s="2" t="n">
        <x:v>208900</x:v>
      </x:c>
    </x:row>
    <x:row r="107" ht="23" customHeight="1">
      <x:c r="A107" s="1" t="n">
        <x:v>2021</x:v>
      </x:c>
      <x:c r="B107" s="1" t="str">
        <x:v>Alice Springs</x:v>
      </x:c>
      <x:c r="C107" s="1" t="str">
        <x:v>Tjoritja / West MacDonnell National Park - Whole of Park</x:v>
      </x:c>
      <x:c r="D107" s="2" t="n">
        <x:v>126100</x:v>
      </x:c>
    </x:row>
    <x:row r="108" ht="23" customHeight="1">
      <x:c r="A108" s="1" t="n">
        <x:v>2022</x:v>
      </x:c>
      <x:c r="B108" s="1" t="str">
        <x:v>Alice Springs</x:v>
      </x:c>
      <x:c r="C108" s="1" t="str">
        <x:v>Tjoritja / West MacDonnell National Park - Whole of Park</x:v>
      </x:c>
      <x:c r="D108" s="2" t="n">
        <x:v>170600</x:v>
      </x:c>
    </x:row>
    <x:row r="109" ht="23" customHeight="1">
      <x:c r="A109" s="1" t="n">
        <x:v>2023</x:v>
      </x:c>
      <x:c r="B109" s="1" t="str">
        <x:v>Alice Springs</x:v>
      </x:c>
      <x:c r="C109" s="1" t="str">
        <x:v>Tjoritja / West MacDonnell National Park - Whole of Park</x:v>
      </x:c>
      <x:c r="D109" s="2" t="n">
        <x:v>155500</x:v>
      </x:c>
    </x:row>
    <x:row r="110" ht="23" customHeight="1">
      <x:c r="A110" s="1" t="n">
        <x:v>2024</x:v>
      </x:c>
      <x:c r="B110" s="1" t="str">
        <x:v>Alice Springs</x:v>
      </x:c>
      <x:c r="C110" s="1" t="str">
        <x:v>Tjoritja / West MacDonnell National Park - Whole of Park</x:v>
      </x:c>
      <x:c r="D110" s="2" t="n">
        <x:v>145400</x:v>
      </x:c>
    </x:row>
    <x:row r="111" ht="23" customHeight="1">
      <x:c r="A111" s="1" t="n">
        <x:v>2025</x:v>
      </x:c>
      <x:c r="B111" s="1" t="str">
        <x:v>Alice Springs</x:v>
      </x:c>
      <x:c r="C111" s="1" t="str">
        <x:v>Tjoritja / West MacDonnell National Park - Whole of Park</x:v>
      </x:c>
      <x:c r="D111" s="2" t="n">
        <x:v>137300</x:v>
      </x:c>
    </x:row>
  </x:sheetData>
  <x:pageMargins left="0.7" right="0.7" top="0.75" bottom="0.75" header="0.3" footer="0.3"/>
  <x:tableParts count="1">
    <x:tablePart xmlns:r="http://schemas.openxmlformats.org/officeDocument/2006/relationships" r:id="R6fe9b32de4cc44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7" customHeight="1">
      <x:c r="A1" s="4" t="str">
        <x:v>Region</x:v>
      </x:c>
      <x:c r="B1" s="4" t="str">
        <x:v>Park</x:v>
      </x:c>
      <x:c r="C1" s="4" t="n">
        <x:v>2021</x:v>
      </x:c>
      <x:c r="D1" s="4" t="n">
        <x:v>2022</x:v>
      </x:c>
      <x:c r="E1" s="4" t="n">
        <x:v>2023</x:v>
      </x:c>
      <x:c r="F1" s="4" t="n">
        <x:v>2024</x:v>
      </x:c>
      <x:c r="G1" s="4" t="n">
        <x:v>2025</x:v>
      </x:c>
    </x:row>
    <x:row r="2" ht="23" customHeight="1">
      <x:c r="A2" s="1" t="str">
        <x:v>Darwin</x:v>
      </x:c>
      <x:c r="B2" s="1" t="str">
        <x:v>Berry Springs Nature Reserve</x:v>
      </x:c>
      <x:c r="C2" s="2" t="n">
        <x:v>158500</x:v>
      </x:c>
      <x:c r="D2" s="2" t="n">
        <x:v>204100</x:v>
      </x:c>
      <x:c r="E2" s="2" t="n">
        <x:v>179300</x:v>
      </x:c>
      <x:c r="F2" s="2" t="n">
        <x:v>175800</x:v>
      </x:c>
      <x:c r="G2" s="2" t="n">
        <x:v>186600</x:v>
      </x:c>
    </x:row>
    <x:row r="3" ht="23" customHeight="1">
      <x:c r="A3" s="1" t="str">
        <x:v>Darwin</x:v>
      </x:c>
      <x:c r="B3" s="1" t="str">
        <x:v>Casuarina Coastal Reserve - Whole of Park</x:v>
      </x:c>
      <x:c r="C3" s="2" t="n">
        <x:v>1452800</x:v>
      </x:c>
      <x:c r="D3" s="2" t="n">
        <x:v>1411300</x:v>
      </x:c>
      <x:c r="E3" s="2" t="n">
        <x:v>1357000</x:v>
      </x:c>
      <x:c r="F3" s="2" t="n">
        <x:v>1346000</x:v>
      </x:c>
      <x:c r="G3" s="2" t="n">
        <x:v>1422200</x:v>
      </x:c>
    </x:row>
    <x:row r="4" ht="23" customHeight="1">
      <x:c r="A4" s="1" t="str">
        <x:v>Darwin</x:v>
      </x:c>
      <x:c r="B4" s="1" t="str">
        <x:v>Fogg Dam Conservation Reserve</x:v>
      </x:c>
      <x:c r="C4" s="2" t="n">
        <x:v>51500</x:v>
      </x:c>
      <x:c r="D4" s="2" t="n">
        <x:v>65700</x:v>
      </x:c>
      <x:c r="E4" s="2" t="n">
        <x:v>57400</x:v>
      </x:c>
      <x:c r="F4" s="2" t="n">
        <x:v>69300</x:v>
      </x:c>
      <x:c r="G4" s="2" t="n">
        <x:v>55700</x:v>
      </x:c>
    </x:row>
    <x:row r="5" ht="23" customHeight="1">
      <x:c r="A5" s="1" t="str">
        <x:v>Darwin</x:v>
      </x:c>
      <x:c r="B5" s="1" t="str">
        <x:v>Howard Springs Nature Park</x:v>
      </x:c>
      <x:c r="C5" s="2" t="n">
        <x:v>119600</x:v>
      </x:c>
      <x:c r="D5" s="2" t="n">
        <x:v>134500</x:v>
      </x:c>
      <x:c r="E5" s="2" t="n">
        <x:v>137800</x:v>
      </x:c>
      <x:c r="F5" s="2" t="n">
        <x:v>120700</x:v>
      </x:c>
      <x:c r="G5" s="2" t="n">
        <x:v>126600</x:v>
      </x:c>
    </x:row>
    <x:row r="6" ht="23" customHeight="1">
      <x:c r="A6" s="1" t="str">
        <x:v>Darwin</x:v>
      </x:c>
      <x:c r="B6" s="1" t="str">
        <x:v>Litchfield National Park - Whole of Park</x:v>
      </x:c>
      <x:c r="C6" s="2" t="n">
        <x:v>274400</x:v>
      </x:c>
      <x:c r="D6" s="2" t="n">
        <x:v>367600</x:v>
      </x:c>
      <x:c r="E6" s="2" t="n">
        <x:v>253400</x:v>
      </x:c>
      <x:c r="F6" s="2" t="n">
        <x:v>244200</x:v>
      </x:c>
      <x:c r="G6" s="2" t="n">
        <x:v>280100</x:v>
      </x:c>
    </x:row>
    <x:row r="7" ht="23" customHeight="1">
      <x:c r="A7" s="1" t="str">
        <x:v>Darwin</x:v>
      </x:c>
      <x:c r="B7" s="1" t="str">
        <x:v>Mary River National Park - Shady Camp Conservation Reserve</x:v>
      </x:c>
      <x:c r="C7" s="2" t="n">
        <x:v>37400</x:v>
      </x:c>
      <x:c r="D7" s="2" t="n">
        <x:v>43500</x:v>
      </x:c>
      <x:c r="E7" s="2" t="n">
        <x:v>39000</x:v>
      </x:c>
      <x:c r="F7" s="2" t="n">
        <x:v>34400</x:v>
      </x:c>
      <x:c r="G7" s="2" t="n">
        <x:v>32300</x:v>
      </x:c>
    </x:row>
    <x:row r="8" ht="23" customHeight="1">
      <x:c r="A8" s="1" t="str">
        <x:v>Katherine</x:v>
      </x:c>
      <x:c r="B8" s="1" t="str">
        <x:v>Cutta Cutta Caves Nature Park</x:v>
      </x:c>
      <x:c r="C8" s="2" t="n">
        <x:v>13400</x:v>
      </x:c>
      <x:c r="D8" s="2" t="n">
        <x:v>17200</x:v>
      </x:c>
      <x:c r="E8" s="2" t="n">
        <x:v>11500</x:v>
      </x:c>
      <x:c r="F8" s="2" t="n">
        <x:v>10200</x:v>
      </x:c>
      <x:c r="G8" s="2" t="n">
        <x:v>10400</x:v>
      </x:c>
    </x:row>
    <x:row r="9" ht="23" customHeight="1">
      <x:c r="A9" s="1" t="str">
        <x:v>Katherine</x:v>
      </x:c>
      <x:c r="B9" s="1" t="str">
        <x:v>Elsey National Park - Whole of Park</x:v>
      </x:c>
      <x:c r="C9" s="2" t="n">
        <x:v>232500</x:v>
      </x:c>
      <x:c r="D9" s="2" t="n">
        <x:v>207700</x:v>
      </x:c>
      <x:c r="E9" s="2" t="n">
        <x:v>255400</x:v>
      </x:c>
      <x:c r="F9" s="2" t="n">
        <x:v>201600</x:v>
      </x:c>
      <x:c r="G9" s="2" t="n">
        <x:v>146800</x:v>
      </x:c>
    </x:row>
    <x:row r="10" ht="23" customHeight="1">
      <x:c r="A10" s="1" t="str">
        <x:v>Katherine</x:v>
      </x:c>
      <x:c r="B10" s="1" t="str">
        <x:v>Judbarra/Gregory National Park - Whole of Park</x:v>
      </x:c>
      <x:c r="C10" s="2" t="n">
        <x:v>48000</x:v>
      </x:c>
      <x:c r="D10" s="2" t="n">
        <x:v>49600</x:v>
      </x:c>
      <x:c r="E10" s="2" t="n">
        <x:v>46000</x:v>
      </x:c>
      <x:c r="F10" s="2" t="n">
        <x:v>37300</x:v>
      </x:c>
      <x:c r="G10" s="2" t="n">
        <x:v>43900</x:v>
      </x:c>
    </x:row>
    <x:row r="11" ht="23" customHeight="1">
      <x:c r="A11" s="1" t="str">
        <x:v>Katherine</x:v>
      </x:c>
      <x:c r="B11" s="1" t="str">
        <x:v>Keep River National Park</x:v>
      </x:c>
      <x:c r="C11" s="2" t="n">
        <x:v>20200</x:v>
      </x:c>
      <x:c r="D11" s="2" t="n">
        <x:v>23200</x:v>
      </x:c>
      <x:c r="E11" s="2" t="n">
        <x:v>11700</x:v>
      </x:c>
      <x:c r="F11" s="2" t="n">
        <x:v>14100</x:v>
      </x:c>
      <x:c r="G11" s="2" t="n">
        <x:v>13400</x:v>
      </x:c>
    </x:row>
    <x:row r="12" ht="23" customHeight="1">
      <x:c r="A12" s="1" t="str">
        <x:v>Katherine</x:v>
      </x:c>
      <x:c r="B12" s="1" t="str">
        <x:v>Limmen National Park - Hodgson River Crossing</x:v>
      </x:c>
      <x:c r="C12" s="2" t="n">
        <x:v>11600</x:v>
      </x:c>
      <x:c r="D12" s="2" t="n">
        <x:v>10100</x:v>
      </x:c>
      <x:c r="E12" s="2" t="n">
        <x:v>9400</x:v>
      </x:c>
      <x:c r="F12" s="2" t="n">
        <x:v>9800</x:v>
      </x:c>
      <x:c r="G12" s="2" t="n">
        <x:v>9600</x:v>
      </x:c>
    </x:row>
    <x:row r="13" ht="23" customHeight="1">
      <x:c r="A13" s="1" t="str">
        <x:v>Katherine</x:v>
      </x:c>
      <x:c r="B13" s="1" t="str">
        <x:v>Nitmiluk National Park - Whole of Park</x:v>
      </x:c>
      <x:c r="C13" s="2" t="n">
        <x:v>271700</x:v>
      </x:c>
      <x:c r="D13" s="2" t="n">
        <x:v>309800</x:v>
      </x:c>
      <x:c r="E13" s="2" t="n">
        <x:v>266200</x:v>
      </x:c>
      <x:c r="F13" s="2" t="n">
        <x:v>259800</x:v>
      </x:c>
      <x:c r="G13" s="2" t="n">
        <x:v>251200</x:v>
      </x:c>
    </x:row>
    <x:row r="14" ht="23" customHeight="1">
      <x:c r="A14" s="1" t="str">
        <x:v>Barkly</x:v>
      </x:c>
      <x:c r="B14" s="1" t="str">
        <x:v>Karlu Karlu (Devils Marbles) Conservation Reserve</x:v>
      </x:c>
      <x:c r="C14" s="2" t="n">
        <x:v>146300</x:v>
      </x:c>
      <x:c r="D14" s="2" t="n">
        <x:v>99400</x:v>
      </x:c>
      <x:c r="E14" s="2" t="n">
        <x:v>225200</x:v>
      </x:c>
      <x:c r="F14" s="2" t="n">
        <x:v>98800</x:v>
      </x:c>
      <x:c r="G14" s="2" t="n">
        <x:v>110100</x:v>
      </x:c>
    </x:row>
    <x:row r="15" ht="23" customHeight="1">
      <x:c r="A15" s="1" t="str">
        <x:v>Barkly</x:v>
      </x:c>
      <x:c r="B15" s="1" t="str">
        <x:v>Tennant Creek Telegraph Station</x:v>
      </x:c>
      <x:c r="C15" s="2" t="n">
        <x:v>15200</x:v>
      </x:c>
      <x:c r="D15" s="2" t="n">
        <x:v>19600</x:v>
      </x:c>
      <x:c r="E15" s="2" t="n">
        <x:v>14000</x:v>
      </x:c>
      <x:c r="F15" s="2" t="n">
        <x:v>19300</x:v>
      </x:c>
      <x:c r="G15" s="2" t="n">
        <x:v>18300</x:v>
      </x:c>
    </x:row>
    <x:row r="16" ht="23" customHeight="1">
      <x:c r="A16" s="1" t="str">
        <x:v>Alice Springs</x:v>
      </x:c>
      <x:c r="B16" s="1" t="str">
        <x:v>Alice Springs Telegraph Station Historical Reserve</x:v>
      </x:c>
      <x:c r="C16" s="2" t="n">
        <x:v>183400</x:v>
      </x:c>
      <x:c r="D16" s="2" t="n">
        <x:v>187400</x:v>
      </x:c>
      <x:c r="E16" s="2" t="n">
        <x:v>180200</x:v>
      </x:c>
      <x:c r="F16" s="2" t="n">
        <x:v>142900</x:v>
      </x:c>
      <x:c r="G16" s="2" t="n">
        <x:v>197800</x:v>
      </x:c>
    </x:row>
    <x:row r="17" ht="23" customHeight="1">
      <x:c r="A17" s="1" t="str">
        <x:v>Alice Springs</x:v>
      </x:c>
      <x:c r="B17" s="1" t="str">
        <x:v>Arltunga Historical Reserve</x:v>
      </x:c>
      <x:c r="C17" s="2" t="n">
        <x:v>7300</x:v>
      </x:c>
      <x:c r="D17" s="2" t="n">
        <x:v>11700</x:v>
      </x:c>
      <x:c r="E17" s="2" t="n">
        <x:v>10700</x:v>
      </x:c>
      <x:c r="F17" s="2" t="n">
        <x:v>10800</x:v>
      </x:c>
      <x:c r="G17" s="2" t="n">
        <x:v>41800</x:v>
      </x:c>
    </x:row>
    <x:row r="18" ht="23" customHeight="1">
      <x:c r="A18" s="1" t="str">
        <x:v>Alice Springs</x:v>
      </x:c>
      <x:c r="B18" s="1" t="str">
        <x:v>Chambers Pillar Historical Reserve</x:v>
      </x:c>
      <x:c r="C18" s="2" t="n">
        <x:v>3700</x:v>
      </x:c>
      <x:c r="D18" s="2" t="n">
        <x:v>3000</x:v>
      </x:c>
      <x:c r="E18" s="2" t="n">
        <x:v>2500</x:v>
      </x:c>
      <x:c r="F18" s="2" t="n">
        <x:v>2000</x:v>
      </x:c>
      <x:c r="G18" s="2" t="n">
        <x:v>2200</x:v>
      </x:c>
    </x:row>
    <x:row r="19" ht="23" customHeight="1">
      <x:c r="A19" s="1" t="str">
        <x:v>Alice Springs</x:v>
      </x:c>
      <x:c r="B19" s="1" t="str">
        <x:v>Finke Gorge National Park</x:v>
      </x:c>
      <x:c r="C19" s="2" t="n">
        <x:v>18100</x:v>
      </x:c>
      <x:c r="D19" s="2" t="n">
        <x:v>18000</x:v>
      </x:c>
      <x:c r="E19" s="2" t="n">
        <x:v>14400</x:v>
      </x:c>
      <x:c r="F19" s="2" t="n">
        <x:v>13400</x:v>
      </x:c>
      <x:c r="G19" s="2" t="n">
        <x:v>19000</x:v>
      </x:c>
    </x:row>
    <x:row r="20" ht="23" customHeight="1">
      <x:c r="A20" s="1" t="str">
        <x:v>Alice Springs</x:v>
      </x:c>
      <x:c r="B20" s="1" t="str">
        <x:v>Rainbow Valley Conservation Reserve</x:v>
      </x:c>
      <x:c r="C20" s="2" t="n">
        <x:v>10300</x:v>
      </x:c>
      <x:c r="D20" s="2" t="n">
        <x:v>8200</x:v>
      </x:c>
      <x:c r="E20" s="2" t="n">
        <x:v>8000</x:v>
      </x:c>
      <x:c r="F20" s="2" t="n">
        <x:v>6500</x:v>
      </x:c>
      <x:c r="G20" s="2" t="n">
        <x:v>7000</x:v>
      </x:c>
    </x:row>
    <x:row r="21" ht="23" customHeight="1">
      <x:c r="A21" s="1" t="str">
        <x:v>Alice Springs</x:v>
      </x:c>
      <x:c r="B21" s="1" t="str">
        <x:v>Trephina Gorge Nature Park</x:v>
      </x:c>
      <x:c r="C21" s="2" t="n">
        <x:v>25600</x:v>
      </x:c>
      <x:c r="D21" s="2" t="n">
        <x:v>25700</x:v>
      </x:c>
      <x:c r="E21" s="2" t="n">
        <x:v>32100</x:v>
      </x:c>
      <x:c r="F21" s="2" t="n">
        <x:v>33800</x:v>
      </x:c>
      <x:c r="G21" s="2" t="n">
        <x:v>38500</x:v>
      </x:c>
    </x:row>
    <x:row r="22" ht="23" customHeight="1">
      <x:c r="A22" s="1" t="str">
        <x:v>Alice Springs</x:v>
      </x:c>
      <x:c r="B22" s="1" t="str">
        <x:v>Watarrka National Park</x:v>
      </x:c>
      <x:c r="C22" s="2" t="n">
        <x:v>113800</x:v>
      </x:c>
      <x:c r="D22" s="2" t="n">
        <x:v>196700</x:v>
      </x:c>
      <x:c r="E22" s="2" t="n">
        <x:v>186800</x:v>
      </x:c>
      <x:c r="F22" s="2" t="n">
        <x:v>193500</x:v>
      </x:c>
      <x:c r="G22" s="2" t="n">
        <x:v>208900</x:v>
      </x:c>
    </x:row>
    <x:row r="23" ht="23" customHeight="1">
      <x:c r="A23" s="1" t="str">
        <x:v>Alice Springs</x:v>
      </x:c>
      <x:c r="B23" s="1" t="str">
        <x:v>Tjoritja / West MacDonnell National Park - Whole of Park</x:v>
      </x:c>
      <x:c r="C23" s="2" t="n">
        <x:v>126100</x:v>
      </x:c>
      <x:c r="D23" s="2" t="n">
        <x:v>170600</x:v>
      </x:c>
      <x:c r="E23" s="2" t="n">
        <x:v>155500</x:v>
      </x:c>
      <x:c r="F23" s="2" t="n">
        <x:v>145400</x:v>
      </x:c>
      <x:c r="G23" s="2" t="n">
        <x:v>137300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3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7" customHeight="1">
      <x:c r="A1" s="4" t="str">
        <x:v>Park</x:v>
      </x:c>
      <x:c r="B1" s="4" t="str">
        <x:v>Region</x:v>
      </x:c>
      <x:c r="C1" s="4" t="str">
        <x:v>Selected year</x:v>
      </x:c>
      <x:c r="D1" s="4" t="str">
        <x:v>Previous year</x:v>
      </x:c>
      <x:c r="E1" s="4" t="str">
        <x:v>Change</x:v>
      </x:c>
      <x:c r="F1" s="4" t="str">
        <x:v>YoY change</x:v>
      </x:c>
    </x:row>
    <x:row r="2" ht="23" customHeight="1">
      <x:c r="A2" s="1" t="str">
        <x:v>Berry Springs Nature Reserve</x:v>
      </x:c>
      <x:c r="B2" s="1" t="str">
        <x:v>Darwin</x:v>
      </x:c>
      <x:c r="C2" s="2" t="n">
        <x:f>IF(OR('Report'!$B$7="All",'Report'!$B$7=B2),SUMIFS('Visits'!$D$2:$D$111,'Visits'!$A$2:$A$111,'Report'!$B$6,'Visits'!$C$2:$C$111,A2),"")</x:f>
        <x:v>186600</x:v>
      </x:c>
      <x:c r="D2" s="2" t="n">
        <x:f>IF(OR('Report'!$B$7="All",'Report'!$B$7=B2),SUMIFS('Visits'!$D$2:$D$111,'Visits'!$A$2:$A$111,'Report'!$B$6-1,'Visits'!$C$2:$C$111,A2),"")</x:f>
        <x:v>175800</x:v>
      </x:c>
      <x:c r="E2" s="2" t="n">
        <x:f>IF(OR(C2="",D2=0),"",C2-D2)</x:f>
        <x:v>10800</x:v>
      </x:c>
      <x:c r="F2" s="7" t="n">
        <x:f>IF(OR(C2="",D2=0),"N/A",(C2-D2)/D2)</x:f>
        <x:v>0.06143344709897611</x:v>
      </x:c>
    </x:row>
    <x:row r="3" ht="23" customHeight="1">
      <x:c r="A3" s="1" t="str">
        <x:v>Casuarina Coastal Reserve - Whole of Park</x:v>
      </x:c>
      <x:c r="B3" s="1" t="str">
        <x:v>Darwin</x:v>
      </x:c>
      <x:c r="C3" s="2" t="n">
        <x:f>IF(OR('Report'!$B$7="All",'Report'!$B$7=B3),SUMIFS('Visits'!$D$2:$D$111,'Visits'!$A$2:$A$111,'Report'!$B$6,'Visits'!$C$2:$C$111,A3),"")</x:f>
        <x:v>1422200</x:v>
      </x:c>
      <x:c r="D3" s="2" t="n">
        <x:f>IF(OR('Report'!$B$7="All",'Report'!$B$7=B3),SUMIFS('Visits'!$D$2:$D$111,'Visits'!$A$2:$A$111,'Report'!$B$6-1,'Visits'!$C$2:$C$111,A3),"")</x:f>
        <x:v>1346000</x:v>
      </x:c>
      <x:c r="E3" s="2" t="n">
        <x:f>IF(OR(C3="",D3=0),"",C3-D3)</x:f>
        <x:v>76200</x:v>
      </x:c>
      <x:c r="F3" s="7" t="n">
        <x:f>IF(OR(C3="",D3=0),"N/A",(C3-D3)/D3)</x:f>
        <x:v>0.05661218424962853</x:v>
      </x:c>
    </x:row>
    <x:row r="4" ht="23" customHeight="1">
      <x:c r="A4" s="1" t="str">
        <x:v>Fogg Dam Conservation Reserve</x:v>
      </x:c>
      <x:c r="B4" s="1" t="str">
        <x:v>Darwin</x:v>
      </x:c>
      <x:c r="C4" s="2" t="n">
        <x:f>IF(OR('Report'!$B$7="All",'Report'!$B$7=B4),SUMIFS('Visits'!$D$2:$D$111,'Visits'!$A$2:$A$111,'Report'!$B$6,'Visits'!$C$2:$C$111,A4),"")</x:f>
        <x:v>55700</x:v>
      </x:c>
      <x:c r="D4" s="2" t="n">
        <x:f>IF(OR('Report'!$B$7="All",'Report'!$B$7=B4),SUMIFS('Visits'!$D$2:$D$111,'Visits'!$A$2:$A$111,'Report'!$B$6-1,'Visits'!$C$2:$C$111,A4),"")</x:f>
        <x:v>69300</x:v>
      </x:c>
      <x:c r="E4" s="2" t="n">
        <x:f>IF(OR(C4="",D4=0),"",C4-D4)</x:f>
        <x:v>-13600</x:v>
      </x:c>
      <x:c r="F4" s="7" t="n">
        <x:f>IF(OR(C4="",D4=0),"N/A",(C4-D4)/D4)</x:f>
        <x:v>-0.19624819624819625</x:v>
      </x:c>
    </x:row>
    <x:row r="5" ht="23" customHeight="1">
      <x:c r="A5" s="1" t="str">
        <x:v>Howard Springs Nature Park</x:v>
      </x:c>
      <x:c r="B5" s="1" t="str">
        <x:v>Darwin</x:v>
      </x:c>
      <x:c r="C5" s="2" t="n">
        <x:f>IF(OR('Report'!$B$7="All",'Report'!$B$7=B5),SUMIFS('Visits'!$D$2:$D$111,'Visits'!$A$2:$A$111,'Report'!$B$6,'Visits'!$C$2:$C$111,A5),"")</x:f>
        <x:v>126600</x:v>
      </x:c>
      <x:c r="D5" s="2" t="n">
        <x:f>IF(OR('Report'!$B$7="All",'Report'!$B$7=B5),SUMIFS('Visits'!$D$2:$D$111,'Visits'!$A$2:$A$111,'Report'!$B$6-1,'Visits'!$C$2:$C$111,A5),"")</x:f>
        <x:v>120700</x:v>
      </x:c>
      <x:c r="E5" s="2" t="n">
        <x:f>IF(OR(C5="",D5=0),"",C5-D5)</x:f>
        <x:v>5900</x:v>
      </x:c>
      <x:c r="F5" s="7" t="n">
        <x:f>IF(OR(C5="",D5=0),"N/A",(C5-D5)/D5)</x:f>
        <x:v>0.04888152444076222</x:v>
      </x:c>
    </x:row>
    <x:row r="6" ht="23" customHeight="1">
      <x:c r="A6" s="1" t="str">
        <x:v>Litchfield National Park - Whole of Park</x:v>
      </x:c>
      <x:c r="B6" s="1" t="str">
        <x:v>Darwin</x:v>
      </x:c>
      <x:c r="C6" s="2" t="n">
        <x:f>IF(OR('Report'!$B$7="All",'Report'!$B$7=B6),SUMIFS('Visits'!$D$2:$D$111,'Visits'!$A$2:$A$111,'Report'!$B$6,'Visits'!$C$2:$C$111,A6),"")</x:f>
        <x:v>280100</x:v>
      </x:c>
      <x:c r="D6" s="2" t="n">
        <x:f>IF(OR('Report'!$B$7="All",'Report'!$B$7=B6),SUMIFS('Visits'!$D$2:$D$111,'Visits'!$A$2:$A$111,'Report'!$B$6-1,'Visits'!$C$2:$C$111,A6),"")</x:f>
        <x:v>244200</x:v>
      </x:c>
      <x:c r="E6" s="2" t="n">
        <x:f>IF(OR(C6="",D6=0),"",C6-D6)</x:f>
        <x:v>35900</x:v>
      </x:c>
      <x:c r="F6" s="7" t="n">
        <x:f>IF(OR(C6="",D6=0),"N/A",(C6-D6)/D6)</x:f>
        <x:v>0.147010647010647</x:v>
      </x:c>
    </x:row>
    <x:row r="7" ht="23" customHeight="1">
      <x:c r="A7" s="1" t="str">
        <x:v>Mary River National Park - Shady Camp Conservation Reserve</x:v>
      </x:c>
      <x:c r="B7" s="1" t="str">
        <x:v>Darwin</x:v>
      </x:c>
      <x:c r="C7" s="2" t="n">
        <x:f>IF(OR('Report'!$B$7="All",'Report'!$B$7=B7),SUMIFS('Visits'!$D$2:$D$111,'Visits'!$A$2:$A$111,'Report'!$B$6,'Visits'!$C$2:$C$111,A7),"")</x:f>
        <x:v>32300</x:v>
      </x:c>
      <x:c r="D7" s="2" t="n">
        <x:f>IF(OR('Report'!$B$7="All",'Report'!$B$7=B7),SUMIFS('Visits'!$D$2:$D$111,'Visits'!$A$2:$A$111,'Report'!$B$6-1,'Visits'!$C$2:$C$111,A7),"")</x:f>
        <x:v>34400</x:v>
      </x:c>
      <x:c r="E7" s="2" t="n">
        <x:f>IF(OR(C7="",D7=0),"",C7-D7)</x:f>
        <x:v>-2100</x:v>
      </x:c>
      <x:c r="F7" s="7" t="n">
        <x:f>IF(OR(C7="",D7=0),"N/A",(C7-D7)/D7)</x:f>
        <x:v>-0.061046511627906974</x:v>
      </x:c>
    </x:row>
    <x:row r="8" ht="23" customHeight="1">
      <x:c r="A8" s="1" t="str">
        <x:v>Cutta Cutta Caves Nature Park</x:v>
      </x:c>
      <x:c r="B8" s="1" t="str">
        <x:v>Katherine</x:v>
      </x:c>
      <x:c r="C8" s="2" t="n">
        <x:f>IF(OR('Report'!$B$7="All",'Report'!$B$7=B8),SUMIFS('Visits'!$D$2:$D$111,'Visits'!$A$2:$A$111,'Report'!$B$6,'Visits'!$C$2:$C$111,A8),"")</x:f>
        <x:v>10400</x:v>
      </x:c>
      <x:c r="D8" s="2" t="n">
        <x:f>IF(OR('Report'!$B$7="All",'Report'!$B$7=B8),SUMIFS('Visits'!$D$2:$D$111,'Visits'!$A$2:$A$111,'Report'!$B$6-1,'Visits'!$C$2:$C$111,A8),"")</x:f>
        <x:v>10200</x:v>
      </x:c>
      <x:c r="E8" s="2" t="n">
        <x:f>IF(OR(C8="",D8=0),"",C8-D8)</x:f>
        <x:v>200</x:v>
      </x:c>
      <x:c r="F8" s="7" t="n">
        <x:f>IF(OR(C8="",D8=0),"N/A",(C8-D8)/D8)</x:f>
        <x:v>0.0196078431372549</x:v>
      </x:c>
    </x:row>
    <x:row r="9" ht="23" customHeight="1">
      <x:c r="A9" s="1" t="str">
        <x:v>Elsey National Park - Whole of Park</x:v>
      </x:c>
      <x:c r="B9" s="1" t="str">
        <x:v>Katherine</x:v>
      </x:c>
      <x:c r="C9" s="2" t="n">
        <x:f>IF(OR('Report'!$B$7="All",'Report'!$B$7=B9),SUMIFS('Visits'!$D$2:$D$111,'Visits'!$A$2:$A$111,'Report'!$B$6,'Visits'!$C$2:$C$111,A9),"")</x:f>
        <x:v>146800</x:v>
      </x:c>
      <x:c r="D9" s="2" t="n">
        <x:f>IF(OR('Report'!$B$7="All",'Report'!$B$7=B9),SUMIFS('Visits'!$D$2:$D$111,'Visits'!$A$2:$A$111,'Report'!$B$6-1,'Visits'!$C$2:$C$111,A9),"")</x:f>
        <x:v>201600</x:v>
      </x:c>
      <x:c r="E9" s="2" t="n">
        <x:f>IF(OR(C9="",D9=0),"",C9-D9)</x:f>
        <x:v>-54800</x:v>
      </x:c>
      <x:c r="F9" s="7" t="n">
        <x:f>IF(OR(C9="",D9=0),"N/A",(C9-D9)/D9)</x:f>
        <x:v>-0.2718253968253968</x:v>
      </x:c>
    </x:row>
    <x:row r="10" ht="23" customHeight="1">
      <x:c r="A10" s="1" t="str">
        <x:v>Judbarra/Gregory National Park - Whole of Park</x:v>
      </x:c>
      <x:c r="B10" s="1" t="str">
        <x:v>Katherine</x:v>
      </x:c>
      <x:c r="C10" s="2" t="n">
        <x:f>IF(OR('Report'!$B$7="All",'Report'!$B$7=B10),SUMIFS('Visits'!$D$2:$D$111,'Visits'!$A$2:$A$111,'Report'!$B$6,'Visits'!$C$2:$C$111,A10),"")</x:f>
        <x:v>43900</x:v>
      </x:c>
      <x:c r="D10" s="2" t="n">
        <x:f>IF(OR('Report'!$B$7="All",'Report'!$B$7=B10),SUMIFS('Visits'!$D$2:$D$111,'Visits'!$A$2:$A$111,'Report'!$B$6-1,'Visits'!$C$2:$C$111,A10),"")</x:f>
        <x:v>37300</x:v>
      </x:c>
      <x:c r="E10" s="2" t="n">
        <x:f>IF(OR(C10="",D10=0),"",C10-D10)</x:f>
        <x:v>6600</x:v>
      </x:c>
      <x:c r="F10" s="7" t="n">
        <x:f>IF(OR(C10="",D10=0),"N/A",(C10-D10)/D10)</x:f>
        <x:v>0.1769436997319035</x:v>
      </x:c>
    </x:row>
    <x:row r="11" ht="23" customHeight="1">
      <x:c r="A11" s="1" t="str">
        <x:v>Keep River National Park</x:v>
      </x:c>
      <x:c r="B11" s="1" t="str">
        <x:v>Katherine</x:v>
      </x:c>
      <x:c r="C11" s="2" t="n">
        <x:f>IF(OR('Report'!$B$7="All",'Report'!$B$7=B11),SUMIFS('Visits'!$D$2:$D$111,'Visits'!$A$2:$A$111,'Report'!$B$6,'Visits'!$C$2:$C$111,A11),"")</x:f>
        <x:v>13400</x:v>
      </x:c>
      <x:c r="D11" s="2" t="n">
        <x:f>IF(OR('Report'!$B$7="All",'Report'!$B$7=B11),SUMIFS('Visits'!$D$2:$D$111,'Visits'!$A$2:$A$111,'Report'!$B$6-1,'Visits'!$C$2:$C$111,A11),"")</x:f>
        <x:v>14100</x:v>
      </x:c>
      <x:c r="E11" s="2" t="n">
        <x:f>IF(OR(C11="",D11=0),"",C11-D11)</x:f>
        <x:v>-700</x:v>
      </x:c>
      <x:c r="F11" s="7" t="n">
        <x:f>IF(OR(C11="",D11=0),"N/A",(C11-D11)/D11)</x:f>
        <x:v>-0.04964539007092199</x:v>
      </x:c>
    </x:row>
    <x:row r="12" ht="23" customHeight="1">
      <x:c r="A12" s="1" t="str">
        <x:v>Limmen National Park - Hodgson River Crossing</x:v>
      </x:c>
      <x:c r="B12" s="1" t="str">
        <x:v>Katherine</x:v>
      </x:c>
      <x:c r="C12" s="2" t="n">
        <x:f>IF(OR('Report'!$B$7="All",'Report'!$B$7=B12),SUMIFS('Visits'!$D$2:$D$111,'Visits'!$A$2:$A$111,'Report'!$B$6,'Visits'!$C$2:$C$111,A12),"")</x:f>
        <x:v>9600</x:v>
      </x:c>
      <x:c r="D12" s="2" t="n">
        <x:f>IF(OR('Report'!$B$7="All",'Report'!$B$7=B12),SUMIFS('Visits'!$D$2:$D$111,'Visits'!$A$2:$A$111,'Report'!$B$6-1,'Visits'!$C$2:$C$111,A12),"")</x:f>
        <x:v>9800</x:v>
      </x:c>
      <x:c r="E12" s="2" t="n">
        <x:f>IF(OR(C12="",D12=0),"",C12-D12)</x:f>
        <x:v>-200</x:v>
      </x:c>
      <x:c r="F12" s="7" t="n">
        <x:f>IF(OR(C12="",D12=0),"N/A",(C12-D12)/D12)</x:f>
        <x:v>-0.02040816326530612</x:v>
      </x:c>
    </x:row>
    <x:row r="13" ht="23" customHeight="1">
      <x:c r="A13" s="1" t="str">
        <x:v>Nitmiluk National Park - Whole of Park</x:v>
      </x:c>
      <x:c r="B13" s="1" t="str">
        <x:v>Katherine</x:v>
      </x:c>
      <x:c r="C13" s="2" t="n">
        <x:f>IF(OR('Report'!$B$7="All",'Report'!$B$7=B13),SUMIFS('Visits'!$D$2:$D$111,'Visits'!$A$2:$A$111,'Report'!$B$6,'Visits'!$C$2:$C$111,A13),"")</x:f>
        <x:v>251200</x:v>
      </x:c>
      <x:c r="D13" s="2" t="n">
        <x:f>IF(OR('Report'!$B$7="All",'Report'!$B$7=B13),SUMIFS('Visits'!$D$2:$D$111,'Visits'!$A$2:$A$111,'Report'!$B$6-1,'Visits'!$C$2:$C$111,A13),"")</x:f>
        <x:v>259800</x:v>
      </x:c>
      <x:c r="E13" s="2" t="n">
        <x:f>IF(OR(C13="",D13=0),"",C13-D13)</x:f>
        <x:v>-8600</x:v>
      </x:c>
      <x:c r="F13" s="7" t="n">
        <x:f>IF(OR(C13="",D13=0),"N/A",(C13-D13)/D13)</x:f>
        <x:v>-0.033102386451116246</x:v>
      </x:c>
    </x:row>
    <x:row r="14" ht="23" customHeight="1">
      <x:c r="A14" s="1" t="str">
        <x:v>Karlu Karlu (Devils Marbles) Conservation Reserve</x:v>
      </x:c>
      <x:c r="B14" s="1" t="str">
        <x:v>Barkly</x:v>
      </x:c>
      <x:c r="C14" s="2" t="n">
        <x:f>IF(OR('Report'!$B$7="All",'Report'!$B$7=B14),SUMIFS('Visits'!$D$2:$D$111,'Visits'!$A$2:$A$111,'Report'!$B$6,'Visits'!$C$2:$C$111,A14),"")</x:f>
        <x:v>110100</x:v>
      </x:c>
      <x:c r="D14" s="2" t="n">
        <x:f>IF(OR('Report'!$B$7="All",'Report'!$B$7=B14),SUMIFS('Visits'!$D$2:$D$111,'Visits'!$A$2:$A$111,'Report'!$B$6-1,'Visits'!$C$2:$C$111,A14),"")</x:f>
        <x:v>98800</x:v>
      </x:c>
      <x:c r="E14" s="2" t="n">
        <x:f>IF(OR(C14="",D14=0),"",C14-D14)</x:f>
        <x:v>11300</x:v>
      </x:c>
      <x:c r="F14" s="7" t="n">
        <x:f>IF(OR(C14="",D14=0),"N/A",(C14-D14)/D14)</x:f>
        <x:v>0.11437246963562753</x:v>
      </x:c>
    </x:row>
    <x:row r="15" ht="23" customHeight="1">
      <x:c r="A15" s="1" t="str">
        <x:v>Tennant Creek Telegraph Station</x:v>
      </x:c>
      <x:c r="B15" s="1" t="str">
        <x:v>Barkly</x:v>
      </x:c>
      <x:c r="C15" s="2" t="n">
        <x:f>IF(OR('Report'!$B$7="All",'Report'!$B$7=B15),SUMIFS('Visits'!$D$2:$D$111,'Visits'!$A$2:$A$111,'Report'!$B$6,'Visits'!$C$2:$C$111,A15),"")</x:f>
        <x:v>18300</x:v>
      </x:c>
      <x:c r="D15" s="2" t="n">
        <x:f>IF(OR('Report'!$B$7="All",'Report'!$B$7=B15),SUMIFS('Visits'!$D$2:$D$111,'Visits'!$A$2:$A$111,'Report'!$B$6-1,'Visits'!$C$2:$C$111,A15),"")</x:f>
        <x:v>19300</x:v>
      </x:c>
      <x:c r="E15" s="2" t="n">
        <x:f>IF(OR(C15="",D15=0),"",C15-D15)</x:f>
        <x:v>-1000</x:v>
      </x:c>
      <x:c r="F15" s="7" t="n">
        <x:f>IF(OR(C15="",D15=0),"N/A",(C15-D15)/D15)</x:f>
        <x:v>-0.05181347150259067</x:v>
      </x:c>
    </x:row>
    <x:row r="16" ht="23" customHeight="1">
      <x:c r="A16" s="1" t="str">
        <x:v>Alice Springs Telegraph Station Historical Reserve</x:v>
      </x:c>
      <x:c r="B16" s="1" t="str">
        <x:v>Alice Springs</x:v>
      </x:c>
      <x:c r="C16" s="2" t="n">
        <x:f>IF(OR('Report'!$B$7="All",'Report'!$B$7=B16),SUMIFS('Visits'!$D$2:$D$111,'Visits'!$A$2:$A$111,'Report'!$B$6,'Visits'!$C$2:$C$111,A16),"")</x:f>
        <x:v>197800</x:v>
      </x:c>
      <x:c r="D16" s="2" t="n">
        <x:f>IF(OR('Report'!$B$7="All",'Report'!$B$7=B16),SUMIFS('Visits'!$D$2:$D$111,'Visits'!$A$2:$A$111,'Report'!$B$6-1,'Visits'!$C$2:$C$111,A16),"")</x:f>
        <x:v>142900</x:v>
      </x:c>
      <x:c r="E16" s="2" t="n">
        <x:f>IF(OR(C16="",D16=0),"",C16-D16)</x:f>
        <x:v>54900</x:v>
      </x:c>
      <x:c r="F16" s="7" t="n">
        <x:f>IF(OR(C16="",D16=0),"N/A",(C16-D16)/D16)</x:f>
        <x:v>0.384184744576627</x:v>
      </x:c>
    </x:row>
    <x:row r="17" ht="23" customHeight="1">
      <x:c r="A17" s="1" t="str">
        <x:v>Arltunga Historical Reserve</x:v>
      </x:c>
      <x:c r="B17" s="1" t="str">
        <x:v>Alice Springs</x:v>
      </x:c>
      <x:c r="C17" s="2" t="n">
        <x:f>IF(OR('Report'!$B$7="All",'Report'!$B$7=B17),SUMIFS('Visits'!$D$2:$D$111,'Visits'!$A$2:$A$111,'Report'!$B$6,'Visits'!$C$2:$C$111,A17),"")</x:f>
        <x:v>41800</x:v>
      </x:c>
      <x:c r="D17" s="2" t="n">
        <x:f>IF(OR('Report'!$B$7="All",'Report'!$B$7=B17),SUMIFS('Visits'!$D$2:$D$111,'Visits'!$A$2:$A$111,'Report'!$B$6-1,'Visits'!$C$2:$C$111,A17),"")</x:f>
        <x:v>10800</x:v>
      </x:c>
      <x:c r="E17" s="2" t="n">
        <x:f>IF(OR(C17="",D17=0),"",C17-D17)</x:f>
        <x:v>31000</x:v>
      </x:c>
      <x:c r="F17" s="7" t="n">
        <x:f>IF(OR(C17="",D17=0),"N/A",(C17-D17)/D17)</x:f>
        <x:v>2.8703703703703702</x:v>
      </x:c>
    </x:row>
    <x:row r="18" ht="23" customHeight="1">
      <x:c r="A18" s="1" t="str">
        <x:v>Chambers Pillar Historical Reserve</x:v>
      </x:c>
      <x:c r="B18" s="1" t="str">
        <x:v>Alice Springs</x:v>
      </x:c>
      <x:c r="C18" s="2" t="n">
        <x:f>IF(OR('Report'!$B$7="All",'Report'!$B$7=B18),SUMIFS('Visits'!$D$2:$D$111,'Visits'!$A$2:$A$111,'Report'!$B$6,'Visits'!$C$2:$C$111,A18),"")</x:f>
        <x:v>2200</x:v>
      </x:c>
      <x:c r="D18" s="2" t="n">
        <x:f>IF(OR('Report'!$B$7="All",'Report'!$B$7=B18),SUMIFS('Visits'!$D$2:$D$111,'Visits'!$A$2:$A$111,'Report'!$B$6-1,'Visits'!$C$2:$C$111,A18),"")</x:f>
        <x:v>2000</x:v>
      </x:c>
      <x:c r="E18" s="2" t="n">
        <x:f>IF(OR(C18="",D18=0),"",C18-D18)</x:f>
        <x:v>200</x:v>
      </x:c>
      <x:c r="F18" s="7" t="n">
        <x:f>IF(OR(C18="",D18=0),"N/A",(C18-D18)/D18)</x:f>
        <x:v>0.1</x:v>
      </x:c>
    </x:row>
    <x:row r="19" ht="23" customHeight="1">
      <x:c r="A19" s="1" t="str">
        <x:v>Finke Gorge National Park</x:v>
      </x:c>
      <x:c r="B19" s="1" t="str">
        <x:v>Alice Springs</x:v>
      </x:c>
      <x:c r="C19" s="2" t="n">
        <x:f>IF(OR('Report'!$B$7="All",'Report'!$B$7=B19),SUMIFS('Visits'!$D$2:$D$111,'Visits'!$A$2:$A$111,'Report'!$B$6,'Visits'!$C$2:$C$111,A19),"")</x:f>
        <x:v>19000</x:v>
      </x:c>
      <x:c r="D19" s="2" t="n">
        <x:f>IF(OR('Report'!$B$7="All",'Report'!$B$7=B19),SUMIFS('Visits'!$D$2:$D$111,'Visits'!$A$2:$A$111,'Report'!$B$6-1,'Visits'!$C$2:$C$111,A19),"")</x:f>
        <x:v>13400</x:v>
      </x:c>
      <x:c r="E19" s="2" t="n">
        <x:f>IF(OR(C19="",D19=0),"",C19-D19)</x:f>
        <x:v>5600</x:v>
      </x:c>
      <x:c r="F19" s="7" t="n">
        <x:f>IF(OR(C19="",D19=0),"N/A",(C19-D19)/D19)</x:f>
        <x:v>0.417910447761194</x:v>
      </x:c>
    </x:row>
    <x:row r="20" ht="23" customHeight="1">
      <x:c r="A20" s="1" t="str">
        <x:v>Rainbow Valley Conservation Reserve</x:v>
      </x:c>
      <x:c r="B20" s="1" t="str">
        <x:v>Alice Springs</x:v>
      </x:c>
      <x:c r="C20" s="2" t="n">
        <x:f>IF(OR('Report'!$B$7="All",'Report'!$B$7=B20),SUMIFS('Visits'!$D$2:$D$111,'Visits'!$A$2:$A$111,'Report'!$B$6,'Visits'!$C$2:$C$111,A20),"")</x:f>
        <x:v>7000</x:v>
      </x:c>
      <x:c r="D20" s="2" t="n">
        <x:f>IF(OR('Report'!$B$7="All",'Report'!$B$7=B20),SUMIFS('Visits'!$D$2:$D$111,'Visits'!$A$2:$A$111,'Report'!$B$6-1,'Visits'!$C$2:$C$111,A20),"")</x:f>
        <x:v>6500</x:v>
      </x:c>
      <x:c r="E20" s="2" t="n">
        <x:f>IF(OR(C20="",D20=0),"",C20-D20)</x:f>
        <x:v>500</x:v>
      </x:c>
      <x:c r="F20" s="7" t="n">
        <x:f>IF(OR(C20="",D20=0),"N/A",(C20-D20)/D20)</x:f>
        <x:v>0.07692307692307693</x:v>
      </x:c>
    </x:row>
    <x:row r="21" ht="23" customHeight="1">
      <x:c r="A21" s="1" t="str">
        <x:v>Trephina Gorge Nature Park</x:v>
      </x:c>
      <x:c r="B21" s="1" t="str">
        <x:v>Alice Springs</x:v>
      </x:c>
      <x:c r="C21" s="2" t="n">
        <x:f>IF(OR('Report'!$B$7="All",'Report'!$B$7=B21),SUMIFS('Visits'!$D$2:$D$111,'Visits'!$A$2:$A$111,'Report'!$B$6,'Visits'!$C$2:$C$111,A21),"")</x:f>
        <x:v>38500</x:v>
      </x:c>
      <x:c r="D21" s="2" t="n">
        <x:f>IF(OR('Report'!$B$7="All",'Report'!$B$7=B21),SUMIFS('Visits'!$D$2:$D$111,'Visits'!$A$2:$A$111,'Report'!$B$6-1,'Visits'!$C$2:$C$111,A21),"")</x:f>
        <x:v>33800</x:v>
      </x:c>
      <x:c r="E21" s="2" t="n">
        <x:f>IF(OR(C21="",D21=0),"",C21-D21)</x:f>
        <x:v>4700</x:v>
      </x:c>
      <x:c r="F21" s="7" t="n">
        <x:f>IF(OR(C21="",D21=0),"N/A",(C21-D21)/D21)</x:f>
        <x:v>0.1390532544378698</x:v>
      </x:c>
    </x:row>
    <x:row r="22" ht="23" customHeight="1">
      <x:c r="A22" s="1" t="str">
        <x:v>Watarrka National Park</x:v>
      </x:c>
      <x:c r="B22" s="1" t="str">
        <x:v>Alice Springs</x:v>
      </x:c>
      <x:c r="C22" s="2" t="n">
        <x:f>IF(OR('Report'!$B$7="All",'Report'!$B$7=B22),SUMIFS('Visits'!$D$2:$D$111,'Visits'!$A$2:$A$111,'Report'!$B$6,'Visits'!$C$2:$C$111,A22),"")</x:f>
        <x:v>208900</x:v>
      </x:c>
      <x:c r="D22" s="2" t="n">
        <x:f>IF(OR('Report'!$B$7="All",'Report'!$B$7=B22),SUMIFS('Visits'!$D$2:$D$111,'Visits'!$A$2:$A$111,'Report'!$B$6-1,'Visits'!$C$2:$C$111,A22),"")</x:f>
        <x:v>193500</x:v>
      </x:c>
      <x:c r="E22" s="2" t="n">
        <x:f>IF(OR(C22="",D22=0),"",C22-D22)</x:f>
        <x:v>15400</x:v>
      </x:c>
      <x:c r="F22" s="7" t="n">
        <x:f>IF(OR(C22="",D22=0),"N/A",(C22-D22)/D22)</x:f>
        <x:v>0.07958656330749354</x:v>
      </x:c>
    </x:row>
    <x:row r="23" ht="23" customHeight="1">
      <x:c r="A23" s="1" t="str">
        <x:v>Tjoritja / West MacDonnell National Park - Whole of Park</x:v>
      </x:c>
      <x:c r="B23" s="1" t="str">
        <x:v>Alice Springs</x:v>
      </x:c>
      <x:c r="C23" s="2" t="n">
        <x:f>IF(OR('Report'!$B$7="All",'Report'!$B$7=B23),SUMIFS('Visits'!$D$2:$D$111,'Visits'!$A$2:$A$111,'Report'!$B$6,'Visits'!$C$2:$C$111,A23),"")</x:f>
        <x:v>137300</x:v>
      </x:c>
      <x:c r="D23" s="2" t="n">
        <x:f>IF(OR('Report'!$B$7="All",'Report'!$B$7=B23),SUMIFS('Visits'!$D$2:$D$111,'Visits'!$A$2:$A$111,'Report'!$B$6-1,'Visits'!$C$2:$C$111,A23),"")</x:f>
        <x:v>145400</x:v>
      </x:c>
      <x:c r="E23" s="2" t="n">
        <x:f>IF(OR(C23="",D23=0),"",C23-D23)</x:f>
        <x:v>-8100</x:v>
      </x:c>
      <x:c r="F23" s="7" t="n">
        <x:f>IF(OR(C23="",D23=0),"N/A",(C23-D23)/D23)</x:f>
        <x:v>-0.05570839064649243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0" hidden="0" customWidth="1"/>
  </x:cols>
  <x:sheetData>
    <x:row r="1" ht="23" customHeight="1">
      <x:c r="A1" s="1" t="str">
        <x:v>Publisher</x:v>
      </x:c>
      <x:c r="B1" s="1" t="str">
        <x:v>Parks &amp; Wildlife NT, Northern Territory Government</x:v>
      </x:c>
    </x:row>
    <x:row r="2" ht="42" customHeight="1">
      <x:c r="A2" s="1" t="str">
        <x:v>Source URL</x:v>
      </x:c>
      <x:c r="B2" s="9" t="str">
        <x:v>https://dth.nt.gov.au/parks-and-wildlife/parks-and-wildlife-statistics-and-research/park-visitor-data</x:v>
      </x:c>
    </x:row>
    <x:row r="3" ht="23" customHeight="1">
      <x:c r="A3" s="1" t="str">
        <x:v>Accessed</x:v>
      </x:c>
      <x:c r="B3" s="1" t="str">
        <x:v>2026-09-05</x:v>
      </x:c>
    </x:row>
    <x:row r="4" ht="23" customHeight="1">
      <x:c r="A4" s="1" t="str">
        <x:v>Years</x:v>
      </x:c>
      <x:c r="B4" s="1" t="str">
        <x:v>2021–2025 calendar years</x:v>
      </x:c>
    </x:row>
    <x:row r="5" ht="23" customHeight="1">
      <x:c r="A5" s="1" t="str">
        <x:v>Coverage</x:v>
      </x:c>
      <x:c r="B5" s="1" t="str">
        <x:v>22 listed parks/reserves across four regions; excludes entries under Other.</x:v>
      </x:c>
    </x:row>
    <x:row r="6" ht="23" customHeight="1">
      <x:c r="A6" s="1" t="str">
        <x:v>Units</x:v>
      </x:c>
      <x:c r="B6" s="1" t="str">
        <x:v>Estimated annual visits, rounded to nearest 100.</x:v>
      </x:c>
    </x:row>
    <x:row r="7" ht="23" customHeight="1">
      <x:c r="A7" s="1" t="str">
        <x:v>Transformation</x:v>
      </x:c>
      <x:c r="B7" s="1" t="str">
        <x:v>Transcribed wide table; years unpivoted to 110 park-year records.</x:v>
      </x:c>
    </x:row>
    <x:row r="8" ht="23" customHeight="1">
      <x:c r="A8" s="1" t="str">
        <x:v>Values</x:v>
      </x:c>
      <x:c r="B8" s="1" t="str">
        <x:v>No simulated visitor numbers, interpolated months or missing values filled.</x:v>
      </x:c>
    </x:row>
    <x:row r="9" ht="23" customHeight="1">
      <x:c r="A9" s="1" t="str">
        <x:v>Interpretation</x:v>
      </x:c>
      <x:c r="B9" s="1" t="str">
        <x:v>Repeat visits and visits to multiple parks are not unique people.</x:v>
      </x:c>
    </x:row>
    <x:row r="10" ht="23" customHeight="1">
      <x:c r="A10" s="1" t="str">
        <x:v>Revision</x:v>
      </x:c>
      <x:c r="B10" s="1" t="str">
        <x:v>The publisher may revise estimates; this workbook is a dated snapshot.</x:v>
      </x:c>
    </x:row>
    <x:row r="11" ht="23" customHeight="1">
      <x:c r="A11" s="1" t="str">
        <x:v>Analysis</x:v>
      </x:c>
      <x:c r="B11" s="1" t="str">
        <x:v>Comparisons and conclusions here are student analysis, not Parks &amp; Wildlife NT analysis.</x:v>
      </x:c>
    </x:row>
    <x:row r="12" ht="23" customHeight="1">
      <x:c r="A12" s="1" t="str">
        <x:v>Controls</x:v>
      </x:c>
      <x:c r="B12" s="1" t="str">
        <x:v>Change Report year/region; ParkComparison follows these inputs.</x:v>
      </x:c>
    </x:row>
    <x:row r="13" ht="23" customHeight="1">
      <x:c r="A13" s="1" t="str">
        <x:v>Macro</x:v>
      </x:c>
      <x:c r="B13" s="1" t="str">
        <x:v>Save as .xlsm; import UnpivotParkVisits.bas and run PrepareParkVisits.</x:v>
      </x:c>
    </x:row>
    <x:row r="14" ht="23" customHeight="1">
      <x:c r="A14" s="1" t="str">
        <x:v>Macro output</x:v>
      </x:c>
      <x:c r="B14" s="1" t="str">
        <x:v>SourceWide retained; MacroOutput rebuilt with 110 rows. Visits is unchanged.</x:v>
      </x:c>
    </x:row>
    <x:row r="15" ht="23" customHeight="1">
      <x:c r="A15" s="1" t="str">
        <x:v>Power BI</x:v>
      </x:c>
      <x:c r="B15" s="1" t="str">
        <x:v>Uses the same embedded CSV snapshot. Desktop refresh and DAX checks are outstanding.</x:v>
      </x:c>
    </x:row>
    <x:row r="16" ht="23" customHeight="1">
      <x:c r="A16" s="1" t="str">
        <x:v>Evidence</x:v>
      </x:c>
      <x:c r="B16" s="1" t="str">
        <x:v>Excel render and numeric checks only; VBA has not run in desktop Excel.</x:v>
      </x:c>
    </x:row>
  </x:sheetData>
  <x:pageMargins left="0.7" right="0.7" top="0.75" bottom="0.75" header="0.3" footer="0.3"/>
</x:worksheet>
</file>